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d:\Users\pc222\Desktop\"/>
    </mc:Choice>
  </mc:AlternateContent>
  <xr:revisionPtr revIDLastSave="0" documentId="13_ncr:1_{2195D1FD-5185-4ED9-82B2-4B735FABADF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GENTS SALES 2026" sheetId="1" r:id="rId1"/>
    <sheet name="Overall Sales" sheetId="13" r:id="rId2"/>
    <sheet name="pau-accomplishment" sheetId="6" r:id="rId3"/>
    <sheet name="OLD RECORDS AGENTS HANDLE" sheetId="14" r:id="rId4"/>
    <sheet name="Sheet2" sheetId="15" r:id="rId5"/>
  </sheets>
  <definedNames>
    <definedName name="_xlnm._FilterDatabase" localSheetId="0" hidden="1">'AGENTS SALES 2026'!$A$1:$X$71</definedName>
    <definedName name="_xlnm._FilterDatabase" localSheetId="2" hidden="1">'pau-accomplishment'!$B$41:$J$117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8" i="13" l="1"/>
  <c r="F18" i="13"/>
  <c r="F22" i="13" l="1"/>
  <c r="F39" i="13"/>
  <c r="F30" i="13" l="1"/>
  <c r="F32" i="13" s="1"/>
  <c r="D30" i="13" l="1"/>
  <c r="D14" i="13"/>
  <c r="F13" i="13" l="1"/>
  <c r="F43" i="13" l="1"/>
  <c r="D39" i="13"/>
  <c r="D28" i="13"/>
  <c r="F17" i="13"/>
  <c r="F45" i="13" s="1"/>
  <c r="P39" i="13" l="1"/>
  <c r="D43" i="13"/>
  <c r="E30" i="13"/>
  <c r="P14" i="13" l="1"/>
  <c r="P16" i="13"/>
  <c r="P15" i="13"/>
  <c r="D13" i="13"/>
  <c r="P13" i="13" s="1"/>
  <c r="D17" i="13" l="1"/>
  <c r="P17" i="13" s="1"/>
  <c r="E24" i="13"/>
  <c r="P24" i="13" s="1"/>
  <c r="P25" i="13"/>
  <c r="D26" i="13"/>
  <c r="P26" i="13" s="1"/>
  <c r="P12" i="13"/>
  <c r="D3" i="13"/>
  <c r="E28" i="13"/>
  <c r="D20" i="13"/>
  <c r="AE3" i="1"/>
  <c r="E20" i="13"/>
  <c r="E18" i="13"/>
  <c r="D19" i="13"/>
  <c r="P19" i="13" s="1"/>
  <c r="D18" i="13"/>
  <c r="D7" i="13" l="1"/>
  <c r="P3" i="13"/>
  <c r="P7" i="13"/>
  <c r="P43" i="13"/>
  <c r="E27" i="13"/>
  <c r="P30" i="13"/>
  <c r="P28" i="13"/>
  <c r="D27" i="13"/>
  <c r="E32" i="13"/>
  <c r="D32" i="13"/>
  <c r="P20" i="13"/>
  <c r="D22" i="13"/>
  <c r="E22" i="13"/>
  <c r="P18" i="13"/>
  <c r="D45" i="13" l="1"/>
  <c r="E45" i="13"/>
  <c r="P27" i="13"/>
  <c r="P32" i="13"/>
  <c r="P22" i="13"/>
  <c r="J47" i="13" s="1"/>
</calcChain>
</file>

<file path=xl/sharedStrings.xml><?xml version="1.0" encoding="utf-8"?>
<sst xmlns="http://schemas.openxmlformats.org/spreadsheetml/2006/main" count="1625" uniqueCount="777">
  <si>
    <t>REMARKS</t>
  </si>
  <si>
    <t>Remarks</t>
  </si>
  <si>
    <t>Accomplishment</t>
  </si>
  <si>
    <t>P.O DATE</t>
  </si>
  <si>
    <t>Client Company  Name</t>
  </si>
  <si>
    <t>GOVT /PRIVATE</t>
  </si>
  <si>
    <t>GOODS/ CALIBRATION</t>
  </si>
  <si>
    <t>Amount</t>
  </si>
  <si>
    <t>Principal</t>
  </si>
  <si>
    <t>BIR/COR</t>
  </si>
  <si>
    <t>ADDRESS</t>
  </si>
  <si>
    <t>Contact No.</t>
  </si>
  <si>
    <t>Contact Person</t>
  </si>
  <si>
    <t>Qoutation Control No.</t>
  </si>
  <si>
    <t>SALES INVOICE</t>
  </si>
  <si>
    <t xml:space="preserve">SALES INVOICE DATE </t>
  </si>
  <si>
    <t>DR</t>
  </si>
  <si>
    <t xml:space="preserve">PAYMENT TERMS </t>
  </si>
  <si>
    <t>NOA DATE</t>
  </si>
  <si>
    <t>NTP DATE</t>
  </si>
  <si>
    <t xml:space="preserve">CONTRACT </t>
  </si>
  <si>
    <t>AGENT</t>
  </si>
  <si>
    <t>INNO CONS SOLUTIONS HOLDINGS,INC.</t>
  </si>
  <si>
    <t>PRIVATE</t>
  </si>
  <si>
    <t>GOODS</t>
  </si>
  <si>
    <t>NEOPRENE/RUBBER PAD 6" DIA</t>
  </si>
  <si>
    <t>Manila East Road, Brgy. Burgos Pakil Laguna/ Email: jcpakil2023@gmail.com</t>
  </si>
  <si>
    <t>COD</t>
  </si>
  <si>
    <t xml:space="preserve">RIECKERMANN PHILIPPINES, INC. </t>
  </si>
  <si>
    <t>RPO-26-7545</t>
  </si>
  <si>
    <t>LOCAL</t>
  </si>
  <si>
    <t xml:space="preserve">CYLINDER MOLD 4X8 </t>
  </si>
  <si>
    <t>004-963-829-000</t>
  </si>
  <si>
    <t>215 Jaime Cardinal Sin St. Cor. Dela Paz Pleasant Hills Mandaluyong City</t>
  </si>
  <si>
    <t>(632) 8634-2623 to 26 /manila@riekermann.com</t>
  </si>
  <si>
    <t>ANA GOJOL/SALES SECRETARY</t>
  </si>
  <si>
    <t>GEI-GDS-26-2626</t>
  </si>
  <si>
    <t>ALTEO ENGINEERING CONSULTANCY SERVICES</t>
  </si>
  <si>
    <t>CALIBRATION</t>
  </si>
  <si>
    <t>2026-002</t>
  </si>
  <si>
    <t>COMPRESSION</t>
  </si>
  <si>
    <t>LTO Compound, Brgy.1 Calamba, Laguna</t>
  </si>
  <si>
    <t>0969-307-9505/ lab.alteoengineering@gmail.com</t>
  </si>
  <si>
    <t>Lovely Millanes</t>
  </si>
  <si>
    <t>CONCRETE MASTERS INC.</t>
  </si>
  <si>
    <t>ELECTRIC MOTOR BAGGER MIXER</t>
  </si>
  <si>
    <t>005-295-683</t>
  </si>
  <si>
    <t>AFP-RSBS Industrial Park, Km.12 East Service Road Corner C5 Road, Western Bicutan, Taguig City / Suha,San Mateo, Norzagaray</t>
  </si>
  <si>
    <t>ACCIONA CONSTRUCTION S.A &amp; EEI CORPORATION</t>
  </si>
  <si>
    <t>BATCHING PLANT</t>
  </si>
  <si>
    <t>METRO MANILA 1ST DEO</t>
  </si>
  <si>
    <t>GOV'T</t>
  </si>
  <si>
    <t>2025-11-059</t>
  </si>
  <si>
    <t>EXTENSION ROD &amp; DCP</t>
  </si>
  <si>
    <t>30 days</t>
  </si>
  <si>
    <t>2025-12-0079</t>
  </si>
  <si>
    <t>Various</t>
  </si>
  <si>
    <t>Department of Public Works and Highways Sultan Kudarat 1st District Engineering Office</t>
  </si>
  <si>
    <t>-</t>
  </si>
  <si>
    <t>60 DAYS</t>
  </si>
  <si>
    <t>2025-12-079</t>
  </si>
  <si>
    <t>Department of Public Works and Highways Quezon 4th District Engineering Office</t>
  </si>
  <si>
    <t>60 days</t>
  </si>
  <si>
    <t>Provincial Government of Antique</t>
  </si>
  <si>
    <t>IB NO. K-2025-274</t>
  </si>
  <si>
    <t>TBTSCIETECH NANJING</t>
  </si>
  <si>
    <t>UTM 1000KN</t>
  </si>
  <si>
    <t>DPWH QUEZON 2ND DEO LUCENA</t>
  </si>
  <si>
    <t>2025-12-0260</t>
  </si>
  <si>
    <t>Matest</t>
  </si>
  <si>
    <t>SPILL KIT, MICROMETER, SLUMPCONE</t>
  </si>
  <si>
    <t>Department of Public Works and Highways Quezon 2nd District Engineering Office Dalahican Road, Ibabang Dupay,Lucena City Quezon</t>
  </si>
  <si>
    <t>P.O reference</t>
  </si>
  <si>
    <t xml:space="preserve">DPWH Sultan Kudarat 1st DEO </t>
  </si>
  <si>
    <t>DPWH Quezon 4th DEO Gumaca Quezon Region IV-A</t>
  </si>
  <si>
    <t>MICA</t>
  </si>
  <si>
    <t xml:space="preserve">SUPLICO CONSTRUCTION CORPORATION </t>
  </si>
  <si>
    <t>Purchase Order 5402</t>
  </si>
  <si>
    <t>008-569-218-000</t>
  </si>
  <si>
    <t>Blk 1 Lot 36 CITHIHOMES Subd. Manuyo Uno Las Pinas</t>
  </si>
  <si>
    <t>09171384031</t>
  </si>
  <si>
    <t>sir jeb karl</t>
  </si>
  <si>
    <t>PO2175</t>
  </si>
  <si>
    <t>TERAGRAIL GEOLOGY AND GEOTECHNICS</t>
  </si>
  <si>
    <t>TGGPO-2026-031</t>
  </si>
  <si>
    <t>LA MACHINE</t>
  </si>
  <si>
    <t>605-416-155-000</t>
  </si>
  <si>
    <t>3F NO 13 LUNA ST. PINAGBUKLOD PH4,BPS,IMUS CAVITE</t>
  </si>
  <si>
    <t>02 5155412/ 908 636 5350</t>
  </si>
  <si>
    <t>VARIOUS</t>
  </si>
  <si>
    <t>SERVED /NOT SERVED</t>
  </si>
  <si>
    <t>SERVED</t>
  </si>
  <si>
    <t>Company</t>
  </si>
  <si>
    <t>GEI QOUTATION #</t>
  </si>
  <si>
    <t>DATED</t>
  </si>
  <si>
    <t>AMOUNT</t>
  </si>
  <si>
    <t>Marketing Coordinator</t>
  </si>
  <si>
    <t>NOTE</t>
  </si>
  <si>
    <t>Goods</t>
  </si>
  <si>
    <t>ACCESS CHEMICAL SUPPLY</t>
  </si>
  <si>
    <t>GEI-GDS-2026 -                                                                  12791A</t>
  </si>
  <si>
    <t>HOUSE</t>
  </si>
  <si>
    <t>nirevised nag add ng flyash wet sieving 2/23 nag canvass lang</t>
  </si>
  <si>
    <t>Pau</t>
  </si>
  <si>
    <t>NEGATIVE</t>
  </si>
  <si>
    <t>EQUIPARCO</t>
  </si>
  <si>
    <t>to ff up</t>
  </si>
  <si>
    <t xml:space="preserve">STA CLARA INTERNATIONAL CORP. &amp; WIKA BETON JOINT VENTURE </t>
  </si>
  <si>
    <t>GEI-GDS-2026-12779</t>
  </si>
  <si>
    <t>1m plus estimate</t>
  </si>
  <si>
    <t xml:space="preserve">SOIL PHILIPPINE TESTING INC. </t>
  </si>
  <si>
    <t>GEI-GDS-2026-12780</t>
  </si>
  <si>
    <t>NEW TRI STAR READYMIX INC..</t>
  </si>
  <si>
    <t>GEI-GDS-2022-12778</t>
  </si>
  <si>
    <t>oven with alt offer for approval daw ni boss niya wala pa 2/24/26</t>
  </si>
  <si>
    <t xml:space="preserve">ACCESS CHEMICAL SUPPLY </t>
  </si>
  <si>
    <t>GEI-GDS-2026-12777</t>
  </si>
  <si>
    <t>capping gypsum no update pa if kukunin nag canvass palang 2/24/26</t>
  </si>
  <si>
    <t>TOYO SHIMIZU</t>
  </si>
  <si>
    <t>GEI-GDS-2026-12772</t>
  </si>
  <si>
    <t>ACGS</t>
  </si>
  <si>
    <t>X'Well Testing Services, Inc.</t>
  </si>
  <si>
    <t>GEI-GDS-2026-12759</t>
  </si>
  <si>
    <t>various equipment w/ alt offer for approval pa last call 2/24/2026</t>
  </si>
  <si>
    <t xml:space="preserve">LBS DIGITAL INFRASTRUCTURE CORP. </t>
  </si>
  <si>
    <t xml:space="preserve">GEI-GDS-2026-12704 REVISED </t>
  </si>
  <si>
    <t>with discount</t>
  </si>
  <si>
    <t>REBTRADE</t>
  </si>
  <si>
    <t xml:space="preserve"> GEI-GDS-2026-12707</t>
  </si>
  <si>
    <t>light weight deflectometer matest no stock</t>
  </si>
  <si>
    <t>paguusapan pa daw ng boss nila if kukunin called 2/25/2026</t>
  </si>
  <si>
    <t>GEI-GDS-2026-12751</t>
  </si>
  <si>
    <t xml:space="preserve">negative </t>
  </si>
  <si>
    <t>cylinder mold,beam mold- hindi kukunin as per inventory daw kse nila madame pa</t>
  </si>
  <si>
    <t xml:space="preserve">STX ENTERPRISES </t>
  </si>
  <si>
    <t xml:space="preserve">GEI-GDS-2026 - 12742                                                                 </t>
  </si>
  <si>
    <t>for call to ff up</t>
  </si>
  <si>
    <t>namamahalan pa sa 230k gusto din ishoulder naten lahat shipping 210k humihingi discount</t>
  </si>
  <si>
    <t xml:space="preserve">MEGAWIDE CONSTRUCTION CORP </t>
  </si>
  <si>
    <t>GEI-GDS-2026-12725</t>
  </si>
  <si>
    <t>need nila 20kg 25 units at 1kg 1o units testweight</t>
  </si>
  <si>
    <t>GEI-GDS-2026 -                                                                  12739</t>
  </si>
  <si>
    <t>nag canvass lang</t>
  </si>
  <si>
    <t>Callibration</t>
  </si>
  <si>
    <t>With P.O</t>
  </si>
  <si>
    <t xml:space="preserve">MEGAWIDE CONSTRUCTION CORPORATION </t>
  </si>
  <si>
    <t>GEI-GDS-2026-12729</t>
  </si>
  <si>
    <t>na award na daw sa iba medyo mahal daw presyo naten (nagcanvass lang)</t>
  </si>
  <si>
    <t>AYM ELECTROMECHANICAL ENGINEERING SERVICES</t>
  </si>
  <si>
    <t>GEI-GDS-2026-12502 C</t>
  </si>
  <si>
    <t>MINES AND GEOSCIENCES BUREAU</t>
  </si>
  <si>
    <t>GEI-GDS-2026-12724</t>
  </si>
  <si>
    <t>224,000.00 OR 327,500.00</t>
  </si>
  <si>
    <t>ROBERT</t>
  </si>
  <si>
    <t>FOR NEGOTIATE FOR 2027 PROCUREMENT</t>
  </si>
  <si>
    <t>Shimizu-Fujita-Takenata-EEI Joint Venture</t>
  </si>
  <si>
    <t>GEI-GDS-2026- 12714</t>
  </si>
  <si>
    <t>2,977,000.00 &amp;  650,000.00</t>
  </si>
  <si>
    <t>Pilang 28 Construction Incorporated</t>
  </si>
  <si>
    <t>GEI-GDS-2026-</t>
  </si>
  <si>
    <t>JOVAN</t>
  </si>
  <si>
    <t>For negotiate c/o jovan</t>
  </si>
  <si>
    <t>RCP</t>
  </si>
  <si>
    <t>GEI-GDS-2026- 12706</t>
  </si>
  <si>
    <t>PATRICK</t>
  </si>
  <si>
    <t>ECOPIPE CORPORATION</t>
  </si>
  <si>
    <t>GEI-GDS-2026-126705 revised</t>
  </si>
  <si>
    <t>SERVED AS P.O</t>
  </si>
  <si>
    <t>SITE DEVELOPMENT SOLUTIONS OPC</t>
  </si>
  <si>
    <t>GEI-GDS-2026-12645 A</t>
  </si>
  <si>
    <t xml:space="preserve"> 01/30/2026 </t>
  </si>
  <si>
    <t>MAMSAR CONSTRUCTION AND INDUSTRIAL CORP</t>
  </si>
  <si>
    <t>GEI-GDS-2026-12646</t>
  </si>
  <si>
    <t>BTC</t>
  </si>
  <si>
    <t>PCON INTL. CORP</t>
  </si>
  <si>
    <t>GEI-GDS-2026-12591 revised</t>
  </si>
  <si>
    <t>DPWH MASBATE</t>
  </si>
  <si>
    <t xml:space="preserve"> GEI-GDS-2026-12258 </t>
  </si>
  <si>
    <t>For Bidding Procurement gov't</t>
  </si>
  <si>
    <t>MAKATI DEVELOPMENT CORP.</t>
  </si>
  <si>
    <t>GEI-GDS-2026-12675</t>
  </si>
  <si>
    <t>Slumpcone To ff up not answering trying to call until 2/25/26</t>
  </si>
  <si>
    <t>ADG Readymix Concrete Corp.</t>
  </si>
  <si>
    <t>KTS</t>
  </si>
  <si>
    <t xml:space="preserve">Not goods inquiry is callibration </t>
  </si>
  <si>
    <t>GEI-GDS-2026-12671</t>
  </si>
  <si>
    <t>Calliper  as per them ipapacalibrate nalang ang meron sila na caliper sten din ininquire kaso may ksma ruler which is d tau nagcacalibrate kaya sbe nila cancel nalang</t>
  </si>
  <si>
    <t>PAN PACIFIC RENEWABLE POWER PHILS. CORP</t>
  </si>
  <si>
    <t xml:space="preserve">GEI-GDS-2025-12505-c </t>
  </si>
  <si>
    <t>HOUSE/BTC</t>
  </si>
  <si>
    <t>WAITING SHIPMENT FOR SCHEDULE DELIVERY</t>
  </si>
  <si>
    <t>GEI-GDS-2026-12666</t>
  </si>
  <si>
    <t>BLUE OCEAN CHEMTRADE INC.</t>
  </si>
  <si>
    <t>GEI-GDS-2026-12663</t>
  </si>
  <si>
    <t xml:space="preserve">BTC/WALK IN KTS </t>
  </si>
  <si>
    <t>BRIXPOINT CONSTRUCTION AND DEVELOPMENT CORP</t>
  </si>
  <si>
    <t>GEI-GDS-2026-12655</t>
  </si>
  <si>
    <t>GEI-GDS-2026-12636</t>
  </si>
  <si>
    <t>ph meter hanna mataas daw ang price hindi pasok sa budget</t>
  </si>
  <si>
    <t>VICTORIAS MILLING COMPANY INC</t>
  </si>
  <si>
    <t>GEI-GDS-2026-12629B revised</t>
  </si>
  <si>
    <t>GEI-GDS-2026-12631</t>
  </si>
  <si>
    <t>PHILINSTRUMENTS CORP</t>
  </si>
  <si>
    <t>GEI-GDS-2026-12620-revised</t>
  </si>
  <si>
    <t xml:space="preserve"> 01/14/2026 </t>
  </si>
  <si>
    <t>For Bidding Procurement</t>
  </si>
  <si>
    <t>Additional For Bidding Procurement</t>
  </si>
  <si>
    <t>H.S ACORDA MECHANICAL ELECTRICALS MAINTENANC SERVICES</t>
  </si>
  <si>
    <t>GEI-GDS-2026-12617</t>
  </si>
  <si>
    <t>ENGR. LITO ALCANTARA</t>
  </si>
  <si>
    <t>GEI-GDS-2025-12474A</t>
  </si>
  <si>
    <t>asphalt batching</t>
  </si>
  <si>
    <t>BNR CONSTRUCTION/ Mr. Gerald Almario</t>
  </si>
  <si>
    <t>GEI-GDS-2025-12597</t>
  </si>
  <si>
    <t>BTC ACCOUNT</t>
  </si>
  <si>
    <t>Cotecna Elite Philippines, Inc. -Main Office</t>
  </si>
  <si>
    <t>GEI-GDS-2025-12595</t>
  </si>
  <si>
    <t>12/22//2025</t>
  </si>
  <si>
    <t>cannot be reach NO STOCK din ung iniiquire labtech</t>
  </si>
  <si>
    <t>ERODMA READYMIX CONCRETE CO.</t>
  </si>
  <si>
    <t>GEI-GDS-2025-12594</t>
  </si>
  <si>
    <t>Nirevised ni kim with additional  digital balance qt #12679 WITH P.O</t>
  </si>
  <si>
    <t>LEOTEL TRADING OPC</t>
  </si>
  <si>
    <t>GEI-GDS-2025-12500</t>
  </si>
  <si>
    <t>11/14/2025</t>
  </si>
  <si>
    <t>nagcanvass lang same kay pan panpacific</t>
  </si>
  <si>
    <t>DDT KONSTRAK INC.</t>
  </si>
  <si>
    <t>GEI-GDS-2025-12521</t>
  </si>
  <si>
    <t>11/18/2025</t>
  </si>
  <si>
    <t>JNT ENGINEERING</t>
  </si>
  <si>
    <t>JANTRADE INDUSTRIAL SALES INC.</t>
  </si>
  <si>
    <t>RED OAK PROPERTIES INC.</t>
  </si>
  <si>
    <t>QUINTA RADDISON PHILS.</t>
  </si>
  <si>
    <t>CHEMISOL INC.</t>
  </si>
  <si>
    <t>INTRAMUROS ADMINISTRATION</t>
  </si>
  <si>
    <t>LITO ALCANTARA</t>
  </si>
  <si>
    <t>MEGAWIDE CONST. CORP</t>
  </si>
  <si>
    <t>VELCA</t>
  </si>
  <si>
    <t>ADVANCE FOUNDATION</t>
  </si>
  <si>
    <t>DPWH CAM NORTE</t>
  </si>
  <si>
    <t>CARMARLAND</t>
  </si>
  <si>
    <t>GEI-GDS-2025-12544</t>
  </si>
  <si>
    <t>11/25/2025</t>
  </si>
  <si>
    <t>GOLDENBAT</t>
  </si>
  <si>
    <t>CHINA INT'L WATER ELECTRIC CORP</t>
  </si>
  <si>
    <t>FASTENERS INC.</t>
  </si>
  <si>
    <r>
      <t xml:space="preserve">FDT TEST </t>
    </r>
    <r>
      <rPr>
        <b/>
        <i/>
        <sz val="8"/>
        <color rgb="FFFF0000"/>
        <rFont val="Monse"/>
      </rPr>
      <t>Waiting for P.O</t>
    </r>
  </si>
  <si>
    <r>
      <t>FDT TEST-</t>
    </r>
    <r>
      <rPr>
        <b/>
        <i/>
        <sz val="8"/>
        <color rgb="FFFF0000"/>
        <rFont val="Monse"/>
      </rPr>
      <t>no still confirmation sa boss niya call 2/24/26</t>
    </r>
  </si>
  <si>
    <t>TARGET FOR MARCH 2-6, 2026</t>
  </si>
  <si>
    <t>DPWH-PANGASINAN 4TH DEO-PO2025-12-042</t>
  </si>
  <si>
    <t>PO2025-12-042</t>
  </si>
  <si>
    <t>DPWH-DAVAO DEL SUR DEO</t>
  </si>
  <si>
    <t>25GLD00077</t>
  </si>
  <si>
    <t>JCC</t>
  </si>
  <si>
    <t>008-165-085</t>
  </si>
  <si>
    <t>FREYSSINET INTERNATIONAL MANILA INC.</t>
  </si>
  <si>
    <t>X</t>
  </si>
  <si>
    <t>Callibration of Unconfined Compression Machine "YTW-2S"</t>
  </si>
  <si>
    <t>Unit B and C, 16TH Floor,8751 Bdo Equitable Tower Paseo De Roxas Makati City</t>
  </si>
  <si>
    <t>632 (832-8243): (832-8246)</t>
  </si>
  <si>
    <t>PO0235-MENARD MICT-20260107</t>
  </si>
  <si>
    <t>SEHOCA CONCRETE SUPPLY</t>
  </si>
  <si>
    <t>NL SCIENTIFIC MALAYSIA</t>
  </si>
  <si>
    <t>Laboratory Oven &amp; Digital Balance NL 7017X/1003N</t>
  </si>
  <si>
    <t>Calamba City Laguna</t>
  </si>
  <si>
    <t>Purchased Order #01</t>
  </si>
  <si>
    <t>Batching Plant,water cement,aggregates,Asphalt, Admixture</t>
  </si>
  <si>
    <t>Purchased Order #02</t>
  </si>
  <si>
    <t>ECOLOMA TRADING INTERNATIONAL CORPORATION</t>
  </si>
  <si>
    <t>DUAL USA</t>
  </si>
  <si>
    <t xml:space="preserve"> SIEVE #14 &amp; #3</t>
  </si>
  <si>
    <t>P.O-2026-01-0004</t>
  </si>
  <si>
    <t>000-412-827-000</t>
  </si>
  <si>
    <t xml:space="preserve">TRI-PHIL INTERNATIONAL,INC. </t>
  </si>
  <si>
    <t xml:space="preserve">GOTECH </t>
  </si>
  <si>
    <t>MODEL: AI-3000</t>
  </si>
  <si>
    <t>B1 L6, R.M. Tiosejo Industrial Complex, Bo. Tunasan, muntinlupa City, Philippines</t>
  </si>
  <si>
    <t>P26-00032</t>
  </si>
  <si>
    <t>COD (COMPANY CHEQUE)</t>
  </si>
  <si>
    <t>EQUIPARCO CONSTRUCTION COMPANY</t>
  </si>
  <si>
    <t>Calcium Carbide 500g</t>
  </si>
  <si>
    <t>P-3 Ambangan Ambago Butuan City</t>
  </si>
  <si>
    <t>#131874</t>
  </si>
  <si>
    <t>745-438-584</t>
  </si>
  <si>
    <t>MONOLITHIC CONSTRUCTION CONCRETE INC.</t>
  </si>
  <si>
    <t>Stressing Jack</t>
  </si>
  <si>
    <t>119 Chesnut Drive Ecoland Phase 7, Matina Davao City</t>
  </si>
  <si>
    <t>GEI-CAL2026-2205</t>
  </si>
  <si>
    <t>134-826-717-000</t>
  </si>
  <si>
    <t>STX ENTERPRISES</t>
  </si>
  <si>
    <t>Marshall Water Bath NL 2008X/002</t>
  </si>
  <si>
    <t>607 Birmingham St. Cor. Northwood St. Metropolis Village II, Brgy. Sta Lucia. Pasig City, 1608</t>
  </si>
  <si>
    <t>ABP102-812</t>
  </si>
  <si>
    <t>#004304</t>
  </si>
  <si>
    <t>600-300-210-000</t>
  </si>
  <si>
    <t xml:space="preserve">TOYO-SHIMIZU JOINT VENTURE </t>
  </si>
  <si>
    <t>3F Planters Products Building, 109 Esteban St., Legaspi Village Makati City (delivery address: Noah Paper Mills Brgy. Kalumpang, Marikina City (Beside SM Marikina)</t>
  </si>
  <si>
    <t>Ref. No. PRP4-2601-169</t>
  </si>
  <si>
    <t xml:space="preserve">READYCON </t>
  </si>
  <si>
    <t>AIRMETER humbolt brand</t>
  </si>
  <si>
    <t>#407 A Rodriguez Avenue,Manggahan Pasig City Manila</t>
  </si>
  <si>
    <t>997-79-59/584-5572/584-9823</t>
  </si>
  <si>
    <t>CJ</t>
  </si>
  <si>
    <t>PO 10109258</t>
  </si>
  <si>
    <t>GHCB PHIL CORPORATION</t>
  </si>
  <si>
    <t>TBT-COMPRESSION 2000KN</t>
  </si>
  <si>
    <t>Sitio Tuba Lubayat Real Quezon SB RIAD  1 Project 6 Quezon City</t>
  </si>
  <si>
    <t>ROGER DOMOLOG</t>
  </si>
  <si>
    <t>GEI-CAL2026-2226</t>
  </si>
  <si>
    <t>Digital Platform</t>
  </si>
  <si>
    <t>PO 10108973</t>
  </si>
  <si>
    <t>004-813-382-00000</t>
  </si>
  <si>
    <t>SMCC PHILIPPINES, INC. (SUMITOMO MITSUI CONSTRUCTION CO. GROUP)</t>
  </si>
  <si>
    <t>TAIWAN</t>
  </si>
  <si>
    <t>CAPSTONE GYPSUM S420</t>
  </si>
  <si>
    <t>10TH Floor Frabelle Corporate Plaza 129 Tordesillas cor. Bautista St. Salcedo Village, Bel Air 1209, City of Makati</t>
  </si>
  <si>
    <t>MOBY WIN ABRIGANA</t>
  </si>
  <si>
    <t>SMS25-S-437</t>
  </si>
  <si>
    <t>Caliper controls</t>
  </si>
  <si>
    <t>PO 10108448</t>
  </si>
  <si>
    <t>655-489-023-00000</t>
  </si>
  <si>
    <t>PCON INTERNATIONAL CORP.</t>
  </si>
  <si>
    <t>LENGTH COMPARATOR</t>
  </si>
  <si>
    <t>LOOBAN I LOMA DE GATO 3019 MARILAO BULACAN PHILIPPINES</t>
  </si>
  <si>
    <t>ENGR CARLO</t>
  </si>
  <si>
    <t>QT SERVED AS P.O</t>
  </si>
  <si>
    <t>Item Description /Inquiry of Goods/ Services</t>
  </si>
  <si>
    <t>RFAELDAN CONSTRUCTION SERVICES CO.</t>
  </si>
  <si>
    <t>MONOSTRESSING JACK 30 TONS</t>
  </si>
  <si>
    <t>UNIT 204 AJBEL BLDG 9127 SAN ANTONIO AVENUE, SAN ANTONIO AVENUE VALLEY 1 PARANAQUE CITY</t>
  </si>
  <si>
    <t>Nancy D. Dolot
RFCSC
09493414877</t>
  </si>
  <si>
    <t>GEI CAL 2026-2305</t>
  </si>
  <si>
    <t>SOIL PHILIPPINES INDEX TESTING INC.</t>
  </si>
  <si>
    <t>SIEVE 1/4</t>
  </si>
  <si>
    <t>SIR GARY VILLABOY</t>
  </si>
  <si>
    <t>EHWA KOREA</t>
  </si>
  <si>
    <t>COREBIT 4"</t>
  </si>
  <si>
    <t>Mobile No: 0926-6554082 / 0923-0846461
Tel: (632) 646-2186 to 89
Fax: 646-2181</t>
  </si>
  <si>
    <t>SHERYL R. BANAS</t>
  </si>
  <si>
    <t>PO 10110203</t>
  </si>
  <si>
    <t>ERODMA READY-MIX CONCRETE CO.</t>
  </si>
  <si>
    <t>Compression ,oven, sieve</t>
  </si>
  <si>
    <t>219 P. DELA CRUZ ST., BRGY. SAN BARTOLOME NOVALICHES, QUEZON CITY</t>
  </si>
  <si>
    <t>26-10370</t>
  </si>
  <si>
    <t>009 634 392 000</t>
  </si>
  <si>
    <t>PRIME METRO BMD SANTOS AVENUE</t>
  </si>
  <si>
    <t>Digimatic Caliper</t>
  </si>
  <si>
    <t>1040 Epifanio Metro BMD Corporation 1040 epifanio Delos Santos Ave.</t>
  </si>
  <si>
    <t>(63) 2795 0820 admin@primebmd.com.ph</t>
  </si>
  <si>
    <t xml:space="preserve"> 008-593-531-000</t>
  </si>
  <si>
    <t>MDC CONCRETE INC</t>
  </si>
  <si>
    <t>10/F MDC Corporate Center, Radian St.Western Bicutan
Taguig City,1630</t>
  </si>
  <si>
    <t>Telephone No. 02-7759-0800</t>
  </si>
  <si>
    <t>000-282-755-00000</t>
  </si>
  <si>
    <t>J.E MANALO &amp; CO. INCORPORATED</t>
  </si>
  <si>
    <t>nl scientific</t>
  </si>
  <si>
    <t>Compression Machine</t>
  </si>
  <si>
    <t>HEAD OFFICE-CONT (112A) 1188 Bernal ST. Corner C. Raymundo Avenue Rosario Pasig</t>
  </si>
  <si>
    <t>8641-27-96</t>
  </si>
  <si>
    <t>Michelle Elimanco</t>
  </si>
  <si>
    <t>#JEM-PO 005565</t>
  </si>
  <si>
    <t>K'S CONSTRUCTION MATERIALS CENTER</t>
  </si>
  <si>
    <t>sieve</t>
  </si>
  <si>
    <t>sieve 200</t>
  </si>
  <si>
    <t>99 AS IS BAUAN BATANGAS</t>
  </si>
  <si>
    <t>26-0001</t>
  </si>
  <si>
    <t>CASH ON PICK UP</t>
  </si>
  <si>
    <t>PICK UP FEB 13, 2026</t>
  </si>
  <si>
    <t>SMCC PHILIPPINES INC.</t>
  </si>
  <si>
    <t>SMS25-S-525</t>
  </si>
  <si>
    <t>BINAN READYMIX</t>
  </si>
  <si>
    <t>Gen. Malvar St. Brgy.  Tubigan Binan Laguna</t>
  </si>
  <si>
    <t>09178019913/0933829-4010</t>
  </si>
  <si>
    <t>STRESSING JACK</t>
  </si>
  <si>
    <t>JEM-PO 005418</t>
  </si>
  <si>
    <t>NL SCIENTIFIC</t>
  </si>
  <si>
    <t>LIQUID LIMIT</t>
  </si>
  <si>
    <t>P.O-2026-02-034</t>
  </si>
  <si>
    <t>637-181-194-00000</t>
  </si>
  <si>
    <t>ECOPIPE CORP.</t>
  </si>
  <si>
    <t xml:space="preserve">LABTECH </t>
  </si>
  <si>
    <t xml:space="preserve">OVEN 150 L </t>
  </si>
  <si>
    <t>WH A8 PUROK 7 CALASAG 3010 SAN ILDEFONSO BULACAN PHILIPPINES</t>
  </si>
  <si>
    <t>GRACE WEE</t>
  </si>
  <si>
    <t>GEI-GDS-2026-126705</t>
  </si>
  <si>
    <t xml:space="preserve">PAID BANK DEPOSIT </t>
  </si>
  <si>
    <t>FOR SCHEDULE DELIVERY</t>
  </si>
  <si>
    <t>438-472-274-00000</t>
  </si>
  <si>
    <t>LABTECH , NL SCIENTIFIC MALAYSIA,</t>
  </si>
  <si>
    <t>DCP, OVEN 100L, BALANCE,SIEVE SHAKER</t>
  </si>
  <si>
    <t>BLOCK 1, LOT 2, PLI HOMES, SAN JUAN ST. BRGY.MAYAMOT, ANTIPOLO CITY</t>
  </si>
  <si>
    <t>LIANPASCUAL</t>
  </si>
  <si>
    <t>GEI-GDS-2026-12502C</t>
  </si>
  <si>
    <t>PO_26-0004</t>
  </si>
  <si>
    <t>ASUKI</t>
  </si>
  <si>
    <t>BALANCE</t>
  </si>
  <si>
    <t>PO 1010984</t>
  </si>
  <si>
    <t>PO 10109836</t>
  </si>
  <si>
    <t>SIEVE</t>
  </si>
  <si>
    <t>Mobile No: 0926-6554082 / 0923-0846461
Tel: (632) 646-2186 to 89
Fax: 646-2182</t>
  </si>
  <si>
    <t>PO 10109790</t>
  </si>
  <si>
    <t>DTM PRINT &amp; LABELS SPECIALIST INC.</t>
  </si>
  <si>
    <t>GOTECH</t>
  </si>
  <si>
    <t xml:space="preserve">MICRO-COMPUTER BENCHTOP TENSILE STRENGHT TESTER </t>
  </si>
  <si>
    <t>#7 T. Santiago St. Canumay Valenzuela City</t>
  </si>
  <si>
    <t>JUVELYN LORCA</t>
  </si>
  <si>
    <t>PO0019626</t>
  </si>
  <si>
    <t>CAPSTONE TAIWAN</t>
  </si>
  <si>
    <t>CAPPING GYPSUM</t>
  </si>
  <si>
    <t>GEI-GDS-2026-12689</t>
  </si>
  <si>
    <t>PPRPPC PO20226-002</t>
  </si>
  <si>
    <t xml:space="preserve">PAN PACIFIC </t>
  </si>
  <si>
    <t>FILFIRST CONCRETE</t>
  </si>
  <si>
    <t>DPWH-NEGROS ORIENTAL 3RD DEO</t>
  </si>
  <si>
    <t>₱ 149,000.00</t>
  </si>
  <si>
    <t>2025-11-0063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</si>
  <si>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</si>
  <si>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</si>
  <si>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</si>
  <si>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</si>
  <si>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</si>
  <si>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</si>
  <si>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</si>
  <si>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</si>
  <si>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</si>
  <si>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</si>
  <si>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</si>
  <si>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</si>
  <si>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SHIELLA</t>
  </si>
  <si>
    <t>Calibration</t>
  </si>
  <si>
    <t>Private</t>
  </si>
  <si>
    <t>Government</t>
  </si>
  <si>
    <t>PHILIPPINE GEOANALYTICS INC</t>
  </si>
  <si>
    <t>PGA-LAB004-2026-062</t>
  </si>
  <si>
    <t>AM GEOCONSULT</t>
  </si>
  <si>
    <t>Overall total Amount of Sales 2026</t>
  </si>
  <si>
    <t>BAR CHIP INC</t>
  </si>
  <si>
    <t>APHL-2026011</t>
  </si>
  <si>
    <t>SHEILLA</t>
  </si>
  <si>
    <t>Z&amp;G CONSTRUCTION SERVICES</t>
  </si>
  <si>
    <t>3/3/26 LAST CALL</t>
  </si>
  <si>
    <t>JAPUZ-JANSOL ENTERPRISES</t>
  </si>
  <si>
    <t>Mabini St. Upper Poblacion Mambajao, Camiguin</t>
  </si>
  <si>
    <t>UNIVERSITY OF SAN CARLOS- TC</t>
  </si>
  <si>
    <t>GEI-2026-12792</t>
  </si>
  <si>
    <t xml:space="preserve">VIA VIBER EMAILED AND CALLED 3/3/2026 </t>
  </si>
  <si>
    <t>4B CONSTRUCTION CORPORATION</t>
  </si>
  <si>
    <t>UNIVERSAL TESTING LABORATORY AND INSPECTION INC. PASIG</t>
  </si>
  <si>
    <t> JADC Compound, 7 Eulogio Rodriguez Jr. Ave, Pasig, 1600 Metro Manila</t>
  </si>
  <si>
    <t>LOCATION</t>
  </si>
  <si>
    <t>PROSPECTIVE CLIENTS</t>
  </si>
  <si>
    <t xml:space="preserve">HAUSLAND CONSTRUCTION (PAMPANGA) - </t>
  </si>
  <si>
    <t xml:space="preserve">FF CRUZ CONSTRUCTION </t>
  </si>
  <si>
    <t>HILMARC'S CONSTRUCTION CORPORATION</t>
  </si>
  <si>
    <t xml:space="preserve"> 86543911/86544153/ 09494567486</t>
  </si>
  <si>
    <t>SINO ROAD AND BRIDGE</t>
  </si>
  <si>
    <t>VIA email gmail &amp; called 3/4/2026</t>
  </si>
  <si>
    <t>CONTACT NUMBER / PERSON</t>
  </si>
  <si>
    <t>09956320368/86710909 /universaltesting2000@gmail.com</t>
  </si>
  <si>
    <t>VIA GMAIL 2/19/2026 ,VIBER EMAILED AND CALLED 3/3/2026  wala pang need as of now na goods inquiry nila total station repair</t>
  </si>
  <si>
    <t>DENR MINES &amp; GEOSCIENCE BUREAU</t>
  </si>
  <si>
    <t>VIA GMAIL EMAILED AND CALLED 2/19/2026</t>
  </si>
  <si>
    <t>EM CUERPO INC.</t>
  </si>
  <si>
    <t>J.C RODRIGUEZ CONSTRUCTION CORP</t>
  </si>
  <si>
    <t>TOYO CONSTRUCTION CO. LTD</t>
  </si>
  <si>
    <t>COORS CONSTRUCTION</t>
  </si>
  <si>
    <t>AB PAMATONG TRADING &amp; CORPORATION</t>
  </si>
  <si>
    <t xml:space="preserve">PHILLIPINE MINING DEVELOPMENT CORPORATION (PMDC) </t>
  </si>
  <si>
    <t>MARCVENTURES &amp; DEVELOPMENT CORPORATION</t>
  </si>
  <si>
    <t>VIA GMAIL EMAILED AND CALLED 2/20/2026</t>
  </si>
  <si>
    <t>TARGET FOR FEBRUARY 16-20, 2026</t>
  </si>
  <si>
    <t>ACS MANUFACTURING INC</t>
  </si>
  <si>
    <t>09266636300 MS.Jocelyn Gallardo/ j.galado@acs-manufacturing.com</t>
  </si>
  <si>
    <t>38th floor ortigas global corporate center no.3 julia vargas avenue ortigas center  pasig city</t>
  </si>
  <si>
    <r>
      <t xml:space="preserve">VIA email gmail &amp; called 3/4/2026 </t>
    </r>
    <r>
      <rPr>
        <b/>
        <i/>
        <sz val="10"/>
        <color rgb="FFFF0000"/>
        <rFont val="Calibri"/>
        <family val="2"/>
      </rPr>
      <t>old client existing</t>
    </r>
  </si>
  <si>
    <t xml:space="preserve"> (Mam Richelle Masanegra) viber 09512666493</t>
  </si>
  <si>
    <t>89273324/viber 09175649658</t>
  </si>
  <si>
    <t xml:space="preserve">8531091/ Direct Inquiry (Engr. Sonny Bagang) viber 09178221592 </t>
  </si>
  <si>
    <t>andreafayebelen@gmail.com /                Andrea Faye T. Belen Engineer III
MGB - Metallurgical Technology Division /09661762164</t>
  </si>
  <si>
    <t>emcuerpo.purchasingdept@gmail.com</t>
  </si>
  <si>
    <t>purchasing.jcrcc@gmail.com</t>
  </si>
  <si>
    <t>coors2207@yahoo.com</t>
  </si>
  <si>
    <t>info@pmdc.com.ph</t>
  </si>
  <si>
    <t>bernie.gamba@marcventures.com.ph</t>
  </si>
  <si>
    <t>mining company</t>
  </si>
  <si>
    <t>government</t>
  </si>
  <si>
    <r>
      <t>VIA GMAIL3/2/2026 ,VIBER EMAILED AND CALLED 3/2/2026-</t>
    </r>
    <r>
      <rPr>
        <b/>
        <i/>
        <sz val="9"/>
        <color rgb="FFFF0000"/>
        <rFont val="Calibri"/>
        <family val="2"/>
      </rPr>
      <t>old client</t>
    </r>
  </si>
  <si>
    <r>
      <t>VIA VIBER EMAILED AND CALLED 3/3/2026 -</t>
    </r>
    <r>
      <rPr>
        <b/>
        <i/>
        <sz val="10"/>
        <color rgb="FFFF0000"/>
        <rFont val="Calibri"/>
        <family val="2"/>
      </rPr>
      <t>old client</t>
    </r>
  </si>
  <si>
    <t>GONZALODO ENTERPRISE</t>
  </si>
  <si>
    <t>PO0004335</t>
  </si>
  <si>
    <t>Various Items, Matest And Local Chemicals and  Glass wares</t>
  </si>
  <si>
    <t>level 1 gonzalodo Building Upper Casili Concolacion Cebu</t>
  </si>
  <si>
    <t>254-34-85</t>
  </si>
  <si>
    <t>JRK CONSTRUCTION</t>
  </si>
  <si>
    <t>JRK-26-LOC-00336</t>
  </si>
  <si>
    <t>C386M REBOUND HAMMER</t>
  </si>
  <si>
    <t>MATEST ITALY</t>
  </si>
  <si>
    <t>BOGO FULLNESS CONSTRUCTION AND SUPPLY INC.</t>
  </si>
  <si>
    <t>PO0001</t>
  </si>
  <si>
    <t>761-778-033</t>
  </si>
  <si>
    <t>COMPRESSION For approval pa</t>
  </si>
  <si>
    <t>CEBU 6TH DEO</t>
  </si>
  <si>
    <t>PO# 10110576</t>
  </si>
  <si>
    <t>private</t>
  </si>
  <si>
    <t>READYCON TRADING AND CONSTRUCTION CORP.</t>
  </si>
  <si>
    <t>GEI-CAL-2026-2307</t>
  </si>
  <si>
    <t>2026-019</t>
  </si>
  <si>
    <t>P.O 2026-019</t>
  </si>
  <si>
    <t>GEI-CAL-2025-2186a</t>
  </si>
  <si>
    <t>VINES CONSTRUCTION</t>
  </si>
  <si>
    <t>GEI-GDS-2026-12822A</t>
  </si>
  <si>
    <t>GEI-GDS-2026-12824</t>
  </si>
  <si>
    <t>FOUR POINT BUILDERS</t>
  </si>
  <si>
    <t>FOR APPROVAL</t>
  </si>
  <si>
    <t>GEI-GDS-2026-12817</t>
  </si>
  <si>
    <t>PHOENIX ASPHALT PHILIPPINES,INC.</t>
  </si>
  <si>
    <t>GEI-GDS-2026 -                                                                  12816</t>
  </si>
  <si>
    <t>THERMOMETER 4 PCS NA IPR NA WAITING NALANG FOR APPROVAL</t>
  </si>
  <si>
    <t>GEI-GDS-2026-12784C</t>
  </si>
  <si>
    <t>GEI-GDS-2026-12784D</t>
  </si>
  <si>
    <t>WAITING FOR P.O  last call MARCH 3, 2026</t>
  </si>
  <si>
    <t>WATERBATH FOR APPROVAL</t>
  </si>
  <si>
    <t>3/3/2026 Last update</t>
  </si>
  <si>
    <t>3/5/2026 last call</t>
  </si>
  <si>
    <t>HYUNDAI ENGINEERING &amp; CONSTRUCTION</t>
  </si>
  <si>
    <t>GEI-GDS-2026-12796</t>
  </si>
  <si>
    <t>GEI-GDS-2026-12813</t>
  </si>
  <si>
    <t>3/3/26 LAST CALL still negotiate they need china brand</t>
  </si>
  <si>
    <t>mas mababa offer ni testmark</t>
  </si>
  <si>
    <t>no stocks item for nl natatagalan sa lead time and sa calcium carbide double the price daw ang presyo naten as per client</t>
  </si>
  <si>
    <t xml:space="preserve">                            </t>
  </si>
  <si>
    <t>need may anvil</t>
  </si>
  <si>
    <t>FUGRO PHILIPPINES INC.</t>
  </si>
  <si>
    <t>Unit 303A, Taipan Place Bldg. Ortigas Center</t>
  </si>
  <si>
    <r>
      <t xml:space="preserve">Ms.Lizette Fugro </t>
    </r>
    <r>
      <rPr>
        <b/>
        <i/>
        <sz val="9"/>
        <color theme="4" tint="-0.249977111117893"/>
        <rFont val="Times New Roman"/>
        <family val="1"/>
      </rPr>
      <t>('09175626103)</t>
    </r>
  </si>
  <si>
    <t>PHILINSTRUMENT CORP</t>
  </si>
  <si>
    <t>3F J Rimando Bldg 1706 E Rod Sr. Cubao QC</t>
  </si>
  <si>
    <t>AVM ENGINEERING GEOTECHNICAL AND MATERIALS TESTING SERVICES</t>
  </si>
  <si>
    <t>23 Col Divino Sto,Brgy.Sto Nino, Marikina</t>
  </si>
  <si>
    <r>
      <t xml:space="preserve">Christvan Aporado Owner </t>
    </r>
    <r>
      <rPr>
        <b/>
        <i/>
        <sz val="9"/>
        <color theme="4" tint="-0.249977111117893"/>
        <rFont val="Times New Roman"/>
        <family val="1"/>
      </rPr>
      <t>(09178610615)</t>
    </r>
  </si>
  <si>
    <t>ADVANCED GEOTECHNICAL ENGINEERING  SERVICES (AGES)</t>
  </si>
  <si>
    <t>Address: 103 Dunhill St., East Fairview, Quezon City 1118</t>
  </si>
  <si>
    <t>Ready Mix Concrete</t>
  </si>
  <si>
    <t>EXAN BUILDERS</t>
  </si>
  <si>
    <t>MEGA TESTING CENTER,INC. (QUEZON CITY)</t>
  </si>
  <si>
    <t>E.B TESTING CENTER</t>
  </si>
  <si>
    <r>
      <rPr>
        <b/>
        <i/>
        <sz val="10"/>
        <color theme="1"/>
        <rFont val="Times New Roman"/>
        <family val="1"/>
      </rPr>
      <t>Main Office (QC) Christine Dayenne Quiñones</t>
    </r>
    <r>
      <rPr>
        <i/>
        <sz val="10"/>
        <color theme="1"/>
        <rFont val="Times New Roman"/>
        <family val="1"/>
      </rPr>
      <t xml:space="preserve"> (02) 8930-5839 / 8930-5971 ebtestingcenter.qc@gmail.com     </t>
    </r>
    <r>
      <rPr>
        <b/>
        <i/>
        <sz val="10"/>
        <color theme="1"/>
        <rFont val="Times New Roman"/>
        <family val="1"/>
      </rPr>
      <t xml:space="preserve">Pasig Branch Kelvin G. Panganiban </t>
    </r>
    <r>
      <rPr>
        <i/>
        <sz val="10"/>
        <color theme="1"/>
        <rFont val="Times New Roman"/>
        <family val="1"/>
      </rPr>
      <t xml:space="preserve">(02) 633-6098 / 0925-5217686 ebtestingcenter.pasig@gmail.com            </t>
    </r>
    <r>
      <rPr>
        <b/>
        <i/>
        <sz val="10"/>
        <color theme="1"/>
        <rFont val="Times New Roman"/>
        <family val="1"/>
      </rPr>
      <t>Luzon Branches</t>
    </r>
    <r>
      <rPr>
        <i/>
        <sz val="10"/>
        <color theme="1"/>
        <rFont val="Times New Roman"/>
        <family val="1"/>
      </rPr>
      <t xml:space="preserve">
Urdaneta (Pangasinan): (075) 632-7364
</t>
    </r>
    <r>
      <rPr>
        <b/>
        <i/>
        <sz val="10"/>
        <color theme="1"/>
        <rFont val="Times New Roman"/>
        <family val="1"/>
      </rPr>
      <t xml:space="preserve">Isabela: </t>
    </r>
    <r>
      <rPr>
        <i/>
        <sz val="10"/>
        <color theme="1"/>
        <rFont val="Times New Roman"/>
        <family val="1"/>
      </rPr>
      <t>(078) 324-6176 / 0917-702-5014 | ebtci_isabela@yahoo.com
Naga City: (054) 881-8897 / 0925-7622280 | ebtci.naga@yahoo.com
Visayas Branches
Cebu City: (032) 402-0598 / 0917-5085328 | ebtesting_cebu@yahoo.com
Bohol (Tagbilaran): (038) 500-9002 / 0917-6328508 | ebtcibohol@yahoo.com
Tacloban: (053) 832-0148 | ebtci_tacloban@yahoo.com
Mindanao Branches
Davao City: (082) 227-5398 / 0917-6314365 | ebtestingdavao@gmail.com
CDO / Misamis: 0977-1128648 | ebtci_cdo@yahoo.com
Koronadal: (083) 553-6410 / 0926-3214121 | ebtcikoronadal@gmail.com</t>
    </r>
  </si>
  <si>
    <t>E. Bolivar Building, No. 10 P. Burgos Cor. F. Calderon St., Brgy. Marilag, Project 4, Quezon City.</t>
  </si>
  <si>
    <t>Head Office
 72 Int. C. Santos St. Evangelista Ave.,
Santolan, Pasig City
 646 – 5806 / 646 – 1008
 681 – 2223 / 681 – 2224
 sales@exanbuilders.com</t>
  </si>
  <si>
    <t>09190807104 /(02)8289-8305</t>
  </si>
  <si>
    <t xml:space="preserve">#26 CONGRESSIONAL AVENUE, BAHAY TORO QUEZON CITY             Region Branch/Office Address
NCR Main                                                     
</t>
  </si>
  <si>
    <t xml:space="preserve">(+63) 999-886-4132 / (+63) 917-885-4370 mgs.readymix@mgs.com.ph </t>
  </si>
  <si>
    <t>Ms.Lizette Gabriel (09283957527) lisetteg.pic@yahoo.com</t>
  </si>
  <si>
    <r>
      <rPr>
        <b/>
        <i/>
        <sz val="8"/>
        <color theme="1"/>
        <rFont val="Times New Roman"/>
        <family val="1"/>
      </rPr>
      <t>Engr. Justin Edward V. Tan (09178518280)  Main Office (Quezon City): *</t>
    </r>
    <r>
      <rPr>
        <i/>
        <sz val="8"/>
        <color theme="1"/>
        <rFont val="Times New Roman"/>
        <family val="1"/>
      </rPr>
      <t xml:space="preserve"> Landline: +63 (2) 7903-3965 / </t>
    </r>
    <r>
      <rPr>
        <b/>
        <i/>
        <sz val="8"/>
        <color theme="4" tint="-0.249977111117893"/>
        <rFont val="Times New Roman"/>
        <family val="1"/>
      </rPr>
      <t>(02) 8939-6368</t>
    </r>
    <r>
      <rPr>
        <i/>
        <sz val="8"/>
        <color theme="1"/>
        <rFont val="Times New Roman"/>
        <family val="1"/>
      </rPr>
      <t xml:space="preserve">
Mobile: +63 917-851-8280 / +63 922-880-0967
ages@ages.ph
</t>
    </r>
    <r>
      <rPr>
        <b/>
        <i/>
        <sz val="8"/>
        <color theme="1"/>
        <rFont val="Times New Roman"/>
        <family val="1"/>
      </rPr>
      <t>Cebu Office:</t>
    </r>
    <r>
      <rPr>
        <i/>
        <sz val="8"/>
        <color theme="1"/>
        <rFont val="Times New Roman"/>
        <family val="1"/>
      </rPr>
      <t xml:space="preserve">
Landline: (032) 261-2994 / (032) 264-6433
Mobile: +63 917-896-3164</t>
    </r>
  </si>
  <si>
    <t>with connection to philinstrument</t>
  </si>
  <si>
    <t>for revised</t>
  </si>
  <si>
    <t>mas mababa offer ng kalaban china brand</t>
  </si>
  <si>
    <t>nagpasend ng speedy moisture 3/9 brochure for still reviewing</t>
  </si>
  <si>
    <t>UNIMASTER CONGLOMERATE</t>
  </si>
  <si>
    <t>GEI-GDS-2026-12818</t>
  </si>
  <si>
    <t>LANDISCO</t>
  </si>
  <si>
    <t>0551</t>
  </si>
  <si>
    <t>namamahalan after mag paqoute d na matwagan</t>
  </si>
  <si>
    <t>FOR APPROVAL PA</t>
  </si>
  <si>
    <t>ACS MANUFACTURING CORP</t>
  </si>
  <si>
    <t>COLEGIO DE LA PURISMA CONCEPCION</t>
  </si>
  <si>
    <t>005077</t>
  </si>
  <si>
    <t>UTM TBT 1000</t>
  </si>
  <si>
    <t>negative d pina go ng boss niya</t>
  </si>
  <si>
    <t>ame kay pan panpacific AWARD to panpacific</t>
  </si>
  <si>
    <t>not answering regards sa meeitng if tuloy pa</t>
  </si>
  <si>
    <t>EDG NO stock no feedback after seeing the qoutation</t>
  </si>
  <si>
    <t>r</t>
  </si>
  <si>
    <t>HONGHUI PIONEER S-CEMENT INTERNATIONAL INC.</t>
  </si>
  <si>
    <t>Blaine air,Cement Autoclave, Two Gang Prism Mould, Filter Paper,Vicat Apparatus</t>
  </si>
  <si>
    <t>UNIT 404 DHI BLDG., 2 LAPU LAPU AVE., MAGALLANES MAKATI CITY</t>
  </si>
  <si>
    <t>DOM</t>
  </si>
  <si>
    <t>ENGR JOVY NOTARIO</t>
  </si>
  <si>
    <t>Rebar Scanner</t>
  </si>
  <si>
    <t>CALMARLAND</t>
  </si>
  <si>
    <t>Rebound Hammer</t>
  </si>
  <si>
    <t>Maharlika Highway, Kanlurang Mayao, Lucena City</t>
  </si>
  <si>
    <t>(042) 373-3001</t>
  </si>
  <si>
    <t>#2024040433</t>
  </si>
  <si>
    <t>Wizard Construction</t>
  </si>
  <si>
    <t>FDT</t>
  </si>
  <si>
    <t>Nueva Ecija</t>
  </si>
  <si>
    <t>ENGR JEREMY</t>
  </si>
  <si>
    <t>PO24-017</t>
  </si>
  <si>
    <t>JS HARDIN</t>
  </si>
  <si>
    <t>VARIOUS LOCAL</t>
  </si>
  <si>
    <t>FOR DPWH</t>
  </si>
  <si>
    <t>GEI-GDS-2024-11152</t>
  </si>
  <si>
    <t>SMART COMPANY MASONRY PHILIPPINES INC</t>
  </si>
  <si>
    <t>SIEVES</t>
  </si>
  <si>
    <t>688 INDUSTRIAL MEGA CITY HIGHWAY TAYTAY RIZAL</t>
  </si>
  <si>
    <t>863-09961</t>
  </si>
  <si>
    <t>PO NO. 2022-0905</t>
  </si>
  <si>
    <t>BALANCE AND SIEVES</t>
  </si>
  <si>
    <t>5TH FLOOR BLDG 135 DELA ROSA ST. LEGASPI VILLAGE MAKATI CITY</t>
  </si>
  <si>
    <t>GEI-GDS-2024-1632</t>
  </si>
  <si>
    <t>ROPALILAND</t>
  </si>
  <si>
    <t>LOCAL ITEMS</t>
  </si>
  <si>
    <t>ROPALI PLAZA ESCRIVA DRIVE COR GOLDLOOP BRGY SAN ANTONIO PASIG CITY</t>
  </si>
  <si>
    <t>ROPALILAND-2024-0001711</t>
  </si>
  <si>
    <t>ALTEO</t>
  </si>
  <si>
    <t>2024-007</t>
  </si>
  <si>
    <t>#2024090415</t>
  </si>
  <si>
    <t>CAPARAL APPLIANCES AND FURNITURES</t>
  </si>
  <si>
    <t>Km 29 Emilio Aguinaldo Hi-way brgy Salitran 2 Dasmarinas Cavite</t>
  </si>
  <si>
    <t>CAP-A1901034</t>
  </si>
  <si>
    <t>LTO Compound Brgy.1 Calamba City, Laguna</t>
  </si>
  <si>
    <t>OVEN</t>
  </si>
  <si>
    <t>GUAGUA NATIONAL COLLEGES INC.</t>
  </si>
  <si>
    <t>GUAGUA PAMPANGA</t>
  </si>
  <si>
    <t>NO.0202</t>
  </si>
  <si>
    <t>BORGE ENGINEERING OFFICE</t>
  </si>
  <si>
    <t>Tagum City</t>
  </si>
  <si>
    <t>09650855636/Charmainewines@gmail.com</t>
  </si>
  <si>
    <t>GEI-GDS-2024-11529</t>
  </si>
  <si>
    <t>Summit Sigma ready mix concrete corporation</t>
  </si>
  <si>
    <t>EPO12821</t>
  </si>
  <si>
    <t>CMSE ENGINEERING SERVICES</t>
  </si>
  <si>
    <t>Liquid Limit Apparatus</t>
  </si>
  <si>
    <t>Brgy.Tanza Boac Marinduque</t>
  </si>
  <si>
    <t>09063132611 / cmseengineeringservices@gmail.com</t>
  </si>
  <si>
    <t>GEI-GDS-2024-11799</t>
  </si>
  <si>
    <t>GROUNDTEK GEOTECHNICAL TESTING SERVICES</t>
  </si>
  <si>
    <t xml:space="preserve">26 ALMA JOSE BRGY 177  CALOOCAN CITY </t>
  </si>
  <si>
    <t>P.O NO. 20250312-01</t>
  </si>
  <si>
    <t>RRA ELECTRICAL AND INDUSTRIAL SUPPLIESS TRADING</t>
  </si>
  <si>
    <t>BARANGAY 1, 8501 SAN FRANCISCO AGUSAL DEL SUR</t>
  </si>
  <si>
    <t>COTECNA</t>
  </si>
  <si>
    <t>UNIT 704 7TH FLOOR ASIAN STAR BLDG ASEAN DRIVE COR.SINGAPURA LANE, FILINVEST CORPORATE CITY ALABANG MUNTINLUPA</t>
  </si>
  <si>
    <t>GEI-GDS-2024-11869</t>
  </si>
  <si>
    <t>REPUBLIC CEMENT MINDANAO INC.,</t>
  </si>
  <si>
    <t>BGC</t>
  </si>
  <si>
    <t>OP47000980</t>
  </si>
  <si>
    <t>JAKT BUILDERS INC.</t>
  </si>
  <si>
    <t>GEI-GDS-2025-12054A</t>
  </si>
  <si>
    <t>SUBIC BAY METROPOLITAN AUTHORITY</t>
  </si>
  <si>
    <t>SUBIC ANGELES CITY</t>
  </si>
  <si>
    <t>GEI-GDS-2025-11863</t>
  </si>
  <si>
    <t>GEI-GDS-2024-12249</t>
  </si>
  <si>
    <t>VCO CONSTRUCTION AND SUPPLY</t>
  </si>
  <si>
    <t>NORTHERN SAMAR</t>
  </si>
  <si>
    <t>STA CLARA INTERNATIONAL</t>
  </si>
  <si>
    <t>DOST-ITDI</t>
  </si>
  <si>
    <t>PASTE EXTRUSION 3D PRINTER SYSTEM</t>
  </si>
  <si>
    <t>DOST-ITDI- DOST Compound,General Santos Ave., Bicutan,Taguig City</t>
  </si>
  <si>
    <t>DOMINIC</t>
  </si>
  <si>
    <t>✔</t>
  </si>
  <si>
    <t>GIAE-PO-2025-01-0013 (MSD)</t>
  </si>
  <si>
    <t>DR DATE:1/2/2025</t>
  </si>
  <si>
    <t>24GBH09</t>
  </si>
  <si>
    <t>DPWH-Isabela 4th DEO</t>
  </si>
  <si>
    <t>DPWH-Isabela 4th DEO REGIONAL OFFICE II Quezon, San Isidro,Isabela</t>
  </si>
  <si>
    <t>24GG021</t>
  </si>
  <si>
    <t xml:space="preserve">DPWH-Iloilo City </t>
  </si>
  <si>
    <t>drilling machine</t>
  </si>
  <si>
    <t xml:space="preserve">DPWH-6th Regional Office Fort San Pedro,Iloilo City </t>
  </si>
  <si>
    <t>24-08-80</t>
  </si>
  <si>
    <t>24GCH022</t>
  </si>
  <si>
    <t xml:space="preserve">DPWH -Pampanga 2nd D.E.O., </t>
  </si>
  <si>
    <t>DPWH -Pampanga 2nd D.E.O., San Antonio, Guagua Pampanga</t>
  </si>
  <si>
    <t>7 Days after receipt of p.o</t>
  </si>
  <si>
    <t>2024-05-021</t>
  </si>
  <si>
    <t>05/24/2024</t>
  </si>
  <si>
    <t>24GL0018</t>
  </si>
  <si>
    <t>DPWH Davao Del Norte Sub-Deo</t>
  </si>
  <si>
    <t>DPWH Davao Del Norte Sub-Deo Tagum City,Region XI</t>
  </si>
  <si>
    <t>90 CD</t>
  </si>
  <si>
    <t>2024-08-138 DDNS</t>
  </si>
  <si>
    <t>08/08/2024</t>
  </si>
  <si>
    <t>23GLD0050</t>
  </si>
  <si>
    <t xml:space="preserve">DPWH Davao Del Norte Sur DEO </t>
  </si>
  <si>
    <t>drilling machine accessories</t>
  </si>
  <si>
    <t>DPWH Davao Del Sur DEO Digos City, Davao Del Sur</t>
  </si>
  <si>
    <t>24-01-010</t>
  </si>
  <si>
    <t>23GBF09</t>
  </si>
  <si>
    <t>DPWH-Isabela 2ND DEO</t>
  </si>
  <si>
    <t>DPWH-Isabela 2ND DEO, Roxas, Isabela</t>
  </si>
  <si>
    <t>45 Cd</t>
  </si>
  <si>
    <t>2023-12-0061-Proc/PO</t>
  </si>
  <si>
    <t>P.O NUMBER</t>
  </si>
  <si>
    <t>2025/018</t>
  </si>
  <si>
    <t>NOBLE EQUIPMENT INC</t>
  </si>
  <si>
    <t>MEGA SOUTHERN ASPHALT MIX CORP</t>
  </si>
  <si>
    <t>2501-0005540</t>
  </si>
  <si>
    <t>2501-0005596</t>
  </si>
  <si>
    <t>HUAYOU CONSTRUCTION DEVELOPMENT PHILIPPINES CORPORATION</t>
  </si>
  <si>
    <t>HCDPC-PO-BSPP-1224-11235</t>
  </si>
  <si>
    <t>SYCUIN COATING &amp; WIRES, INC</t>
  </si>
  <si>
    <t>ERODMA READY-MIX CONCRETE CO</t>
  </si>
  <si>
    <t>UNIVERSAL TESTING LABORATORY &amp; INSPECTION INC</t>
  </si>
  <si>
    <t>GEI-CAL-2025-1790</t>
  </si>
  <si>
    <t>XWELL</t>
  </si>
  <si>
    <t>PO24-00067</t>
  </si>
  <si>
    <t>SAINT GOBAIN PHILIPPINES CO. LTD., INC.</t>
  </si>
  <si>
    <t>GEOSERVICES PHILIPPINES CORPOARATION</t>
  </si>
  <si>
    <t>GSPC-2025-001</t>
  </si>
  <si>
    <t>PHILSOUTH BUILDERS INC.</t>
  </si>
  <si>
    <t>TOYO-SHIMIZU JOINT VENTURE</t>
  </si>
  <si>
    <t>PRP4-2501-065</t>
  </si>
  <si>
    <t>J.E MANALO</t>
  </si>
  <si>
    <t>JEM-PO 002042</t>
  </si>
  <si>
    <t>SERVICES</t>
  </si>
  <si>
    <t>CVN PHILIPPINES CONSTRUCTION INC.</t>
  </si>
  <si>
    <t>CVN-BAUER-20250115</t>
  </si>
  <si>
    <t>3DESIE COMMERCIAL &amp; INDUSTRIAL CORP.</t>
  </si>
  <si>
    <t>2025-0130-005</t>
  </si>
  <si>
    <t>2025-0114-003</t>
  </si>
  <si>
    <t>READYCON TRADING AND CONST. CORP.</t>
  </si>
  <si>
    <t>PO 10097696</t>
  </si>
  <si>
    <t>SUPERMIX REDI CONCRETE INC.</t>
  </si>
  <si>
    <t>B10073506</t>
  </si>
  <si>
    <t>RAYMAN BUILDERS, INC.</t>
  </si>
  <si>
    <t>ITDI</t>
  </si>
  <si>
    <t>GAA-WO-202412-0292(STD)</t>
  </si>
  <si>
    <t>UNICORN METAL CORPORATION</t>
  </si>
  <si>
    <t>GEI-CAL-2025-1791</t>
  </si>
  <si>
    <t>TRI-PHIL INTERNATIONAL, INC.</t>
  </si>
  <si>
    <t>P25-00016</t>
  </si>
  <si>
    <t>ALPHA ONE A1</t>
  </si>
  <si>
    <t>PO-GEI-A1007</t>
  </si>
  <si>
    <t>MEGAWIDE CONSTRUCTION CORPORATION</t>
  </si>
  <si>
    <t>JO 700019369</t>
  </si>
  <si>
    <t>LATICRETE PHILIPPINES, INC.</t>
  </si>
  <si>
    <t>Prepared by: JULIE C. CARIAGA</t>
  </si>
  <si>
    <t>LR MARKETING</t>
  </si>
  <si>
    <t>LR-PO-2025-00038</t>
  </si>
  <si>
    <t>LR-PO-2025-00040</t>
  </si>
  <si>
    <t>GASCON GEOTECHNICAL TESTING SERVICES</t>
  </si>
  <si>
    <t>GEI-GDS-2025-11669</t>
  </si>
  <si>
    <t>LR-PO-2025-00037</t>
  </si>
  <si>
    <t>BMQ BUILDERS AND SUPPLY CORP.</t>
  </si>
  <si>
    <t>BMQ-02147</t>
  </si>
  <si>
    <t>GEI-GDS-2025-11653</t>
  </si>
  <si>
    <t>MANUEL S. ENVERGA</t>
  </si>
  <si>
    <t>HUNAN ROAD AND BRIDGE CONSTRUCTION GROUP CO.</t>
  </si>
  <si>
    <t>GEI-CAL-2025-1793</t>
  </si>
  <si>
    <t>TOTAL PO RECEIVED AS OF JAN. 2025</t>
  </si>
  <si>
    <t>₱ 2,084,575.00</t>
  </si>
  <si>
    <t>GOVERNMENT</t>
  </si>
  <si>
    <t>DPWH REGION IV ILOILO JARO</t>
  </si>
  <si>
    <t>DPWH NCR METRO MANILA 3RD DEO</t>
  </si>
  <si>
    <t>25-01-009</t>
  </si>
  <si>
    <t>INNO CONS SOLUTIONS HOLDINGS, INC</t>
  </si>
  <si>
    <t>PO 4</t>
  </si>
  <si>
    <t>ACCIONA-EE JV</t>
  </si>
  <si>
    <t>TERAGRAIL GEOLOGY&amp; GEOTECHNICS</t>
  </si>
  <si>
    <t>TGGPO-2025-002</t>
  </si>
  <si>
    <t>DMCI PROJECT DEVELOPERS INCORPORATED</t>
  </si>
  <si>
    <t>MNL-WO00001102</t>
  </si>
  <si>
    <t>TERAGRAIL GEOLOGY &amp; GEOTECHNICS</t>
  </si>
  <si>
    <t>TGGPO-2024-023</t>
  </si>
  <si>
    <t>TOTAL PO RECEIVED AS OF DEC 2024</t>
  </si>
  <si>
    <t>₱ 89,000.00</t>
  </si>
  <si>
    <t>DPWH - RIZAL 2ND DEO</t>
  </si>
  <si>
    <t>2024-12-0228</t>
  </si>
  <si>
    <t>DPWH - QC1 DEO</t>
  </si>
  <si>
    <t>2024-12-0133</t>
  </si>
  <si>
    <t>Prepared by: ROBERT FELICES</t>
  </si>
  <si>
    <t>FILFIRST CONCRETE INNPVATIONS INC.</t>
  </si>
  <si>
    <t>PO 003095</t>
  </si>
  <si>
    <t>PO 003094</t>
  </si>
  <si>
    <t>PO 00144</t>
  </si>
  <si>
    <t>TOTAL PO RECEIVED AS OF JANUARY 2025</t>
  </si>
  <si>
    <t>₱ 42,500.00</t>
  </si>
  <si>
    <t>24GHL0005</t>
  </si>
  <si>
    <t>₱ -</t>
  </si>
  <si>
    <t>DPWH CEBU 6TH</t>
  </si>
  <si>
    <t>DPWH - CENTRAL OFFICE</t>
  </si>
  <si>
    <t>₱ 1,085,510.00</t>
  </si>
  <si>
    <t>C-0900-0347-24</t>
  </si>
  <si>
    <t>MKGC</t>
  </si>
  <si>
    <t>WITH CALIBRATION CERTIFICATE EXPIRY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</si>
</sst>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₱-464]* #,##0.00_-;\-[$₱-464]* #,##0.00_-;_-[$₱-464]* &quot;-&quot;??_-;_-@_-"/>
  </numFmts>
  <fonts count="5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Monse"/>
    </font>
    <font>
      <b/>
      <sz val="9"/>
      <color theme="1"/>
      <name val="Monse"/>
    </font>
    <font>
      <sz val="8"/>
      <color theme="1"/>
      <name val="Monse"/>
    </font>
    <font>
      <sz val="9"/>
      <color theme="1"/>
      <name val="Monse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i/>
      <sz val="8"/>
      <color rgb="FFFF0000"/>
      <name val="Monse"/>
    </font>
    <font>
      <b/>
      <i/>
      <sz val="9"/>
      <color theme="1"/>
      <name val="Monse"/>
    </font>
    <font>
      <b/>
      <i/>
      <sz val="8"/>
      <color theme="1"/>
      <name val="Monse"/>
    </font>
    <font>
      <b/>
      <i/>
      <u val="double"/>
      <sz val="8"/>
      <color rgb="FF002060"/>
      <name val="Monse"/>
    </font>
    <font>
      <i/>
      <sz val="8"/>
      <color theme="1"/>
      <name val="Monse"/>
    </font>
    <font>
      <b/>
      <i/>
      <sz val="8"/>
      <color rgb="FF002060"/>
      <name val="Monse"/>
    </font>
    <font>
      <sz val="8"/>
      <name val="Monse"/>
    </font>
    <font>
      <b/>
      <sz val="8"/>
      <name val="Monse"/>
    </font>
    <font>
      <b/>
      <sz val="8"/>
      <color rgb="FF002060"/>
      <name val="Monse"/>
    </font>
    <font>
      <b/>
      <sz val="8"/>
      <color theme="9" tint="-0.499984740745262"/>
      <name val="Monse"/>
    </font>
    <font>
      <sz val="8"/>
      <name val="Calibri"/>
      <family val="2"/>
      <scheme val="minor"/>
    </font>
    <font>
      <u val="double"/>
      <sz val="9"/>
      <color theme="1"/>
      <name val="Monse"/>
    </font>
    <font>
      <u val="doubleAccounting"/>
      <sz val="9"/>
      <color theme="1"/>
      <name val="Monse"/>
    </font>
    <font>
      <b/>
      <sz val="11"/>
      <color theme="1"/>
      <name val="Calibri"/>
      <family val="2"/>
      <scheme val="minor"/>
    </font>
    <font>
      <sz val="8"/>
      <color rgb="FF0A0A0A"/>
      <name val="MonSE"/>
    </font>
    <font>
      <b/>
      <sz val="11"/>
      <name val="Calibri"/>
      <family val="2"/>
    </font>
    <font>
      <b/>
      <sz val="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i/>
      <sz val="10"/>
      <color rgb="FFFF0000"/>
      <name val="Calibri"/>
      <family val="2"/>
    </font>
    <font>
      <u/>
      <sz val="8"/>
      <color theme="10"/>
      <name val="Calibri"/>
      <family val="2"/>
      <scheme val="minor"/>
    </font>
    <font>
      <b/>
      <sz val="8"/>
      <name val="Calibri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9"/>
      <color rgb="FFFF0000"/>
      <name val="Calibri"/>
      <family val="2"/>
    </font>
    <font>
      <sz val="9"/>
      <name val="Monse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i/>
      <sz val="9"/>
      <color theme="4" tint="-0.249977111117893"/>
      <name val="Times New Roman"/>
      <family val="1"/>
    </font>
    <font>
      <i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i/>
      <sz val="8"/>
      <color theme="4" tint="-0.249977111117893"/>
      <name val="Times New Roman"/>
      <family val="1"/>
    </font>
    <font>
      <sz val="8"/>
      <color theme="1"/>
      <name val="Times New Roman"/>
      <family val="1"/>
    </font>
    <font>
      <b/>
      <i/>
      <sz val="8"/>
      <color theme="1"/>
      <name val="Times"/>
    </font>
    <font>
      <sz val="11"/>
      <color theme="1"/>
      <name val="Times New Roman"/>
      <family val="1"/>
    </font>
    <font>
      <u val="double"/>
      <sz val="9"/>
      <name val="Monse"/>
    </font>
    <font>
      <b/>
      <u val="doubleAccounting"/>
      <sz val="9"/>
      <color theme="1"/>
      <name val="Monse"/>
    </font>
    <font>
      <u/>
      <sz val="8"/>
      <color theme="10"/>
      <name val="Monse"/>
    </font>
    <font>
      <b/>
      <sz val="8"/>
      <color rgb="FFFFFFFF"/>
      <name val="Monse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9000"/>
      </patternFill>
    </fill>
    <fill>
      <patternFill patternType="solid">
        <fgColor theme="0"/>
        <bgColor rgb="FFBDD6EE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9" tint="0.79998168889431442"/>
        <bgColor rgb="FFC5E0B3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</fills>
  <borders count="6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CCCCCC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4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5" fillId="0" borderId="5" applyNumberFormat="0" applyFill="0" applyBorder="0" applyAlignment="0" applyProtection="0"/>
  </cellStyleXfs>
  <cellXfs count="585">
    <xf numFmtId="0" fontId="0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/>
    <xf numFmtId="0" fontId="0" fillId="0" borderId="0" xfId="0" applyFont="1" applyAlignment="1"/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5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 applyAlignment="1">
      <alignment wrapText="1"/>
    </xf>
    <xf numFmtId="15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5" fontId="10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7" xfId="0" quotePrefix="1" applyFont="1" applyBorder="1" applyAlignment="1">
      <alignment horizontal="center" vertical="center" wrapText="1"/>
    </xf>
    <xf numFmtId="0" fontId="13" fillId="0" borderId="0" xfId="0" applyFont="1" applyAlignment="1"/>
    <xf numFmtId="0" fontId="13" fillId="4" borderId="0" xfId="0" applyFont="1" applyFill="1" applyAlignment="1"/>
    <xf numFmtId="0" fontId="16" fillId="4" borderId="12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8" fillId="7" borderId="13" xfId="0" applyFont="1" applyFill="1" applyBorder="1" applyAlignment="1">
      <alignment vertical="center" wrapText="1"/>
    </xf>
    <xf numFmtId="0" fontId="18" fillId="7" borderId="13" xfId="0" applyFont="1" applyFill="1" applyBorder="1" applyAlignment="1">
      <alignment horizontal="center" vertical="center" wrapText="1"/>
    </xf>
    <xf numFmtId="14" fontId="12" fillId="7" borderId="9" xfId="0" applyNumberFormat="1" applyFont="1" applyFill="1" applyBorder="1" applyAlignment="1">
      <alignment horizontal="center" vertical="center" wrapText="1"/>
    </xf>
    <xf numFmtId="164" fontId="19" fillId="7" borderId="15" xfId="0" applyNumberFormat="1" applyFont="1" applyFill="1" applyBorder="1" applyAlignment="1">
      <alignment horizontal="right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14" fontId="12" fillId="4" borderId="18" xfId="0" applyNumberFormat="1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vertical="center" wrapText="1"/>
    </xf>
    <xf numFmtId="164" fontId="19" fillId="4" borderId="21" xfId="0" applyNumberFormat="1" applyFont="1" applyFill="1" applyBorder="1" applyAlignment="1">
      <alignment horizontal="right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164" fontId="19" fillId="4" borderId="7" xfId="0" applyNumberFormat="1" applyFont="1" applyFill="1" applyBorder="1" applyAlignment="1">
      <alignment horizontal="right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wrapText="1"/>
    </xf>
    <xf numFmtId="0" fontId="20" fillId="7" borderId="22" xfId="0" applyFont="1" applyFill="1" applyBorder="1" applyAlignment="1">
      <alignment horizontal="center" wrapText="1"/>
    </xf>
    <xf numFmtId="164" fontId="19" fillId="7" borderId="12" xfId="2" applyNumberFormat="1" applyFont="1" applyFill="1" applyBorder="1" applyAlignment="1" applyProtection="1">
      <alignment horizontal="right" vertical="center" wrapText="1"/>
      <protection locked="0"/>
    </xf>
    <xf numFmtId="0" fontId="21" fillId="0" borderId="12" xfId="0" applyFont="1" applyBorder="1" applyAlignment="1">
      <alignment horizontal="center" vertical="center" wrapText="1"/>
    </xf>
    <xf numFmtId="14" fontId="10" fillId="7" borderId="12" xfId="0" applyNumberFormat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wrapText="1"/>
    </xf>
    <xf numFmtId="14" fontId="10" fillId="0" borderId="12" xfId="0" applyNumberFormat="1" applyFont="1" applyBorder="1" applyAlignment="1">
      <alignment horizontal="center" vertical="center" wrapText="1"/>
    </xf>
    <xf numFmtId="164" fontId="19" fillId="0" borderId="12" xfId="0" applyNumberFormat="1" applyFont="1" applyBorder="1" applyAlignment="1">
      <alignment horizontal="right" vertical="center" wrapText="1"/>
    </xf>
    <xf numFmtId="0" fontId="18" fillId="0" borderId="12" xfId="0" applyFont="1" applyBorder="1" applyAlignment="1">
      <alignment horizontal="center" wrapText="1"/>
    </xf>
    <xf numFmtId="0" fontId="12" fillId="0" borderId="12" xfId="0" applyFont="1" applyBorder="1" applyAlignment="1">
      <alignment vertical="center" wrapText="1"/>
    </xf>
    <xf numFmtId="14" fontId="12" fillId="0" borderId="12" xfId="0" applyNumberFormat="1" applyFont="1" applyBorder="1" applyAlignment="1">
      <alignment horizontal="center" vertical="center" wrapText="1"/>
    </xf>
    <xf numFmtId="164" fontId="19" fillId="0" borderId="12" xfId="1" applyNumberFormat="1" applyFont="1" applyBorder="1" applyAlignment="1">
      <alignment horizontal="right" vertical="center" wrapText="1"/>
    </xf>
    <xf numFmtId="0" fontId="10" fillId="0" borderId="12" xfId="0" applyFont="1" applyBorder="1" applyAlignment="1">
      <alignment wrapText="1"/>
    </xf>
    <xf numFmtId="0" fontId="10" fillId="7" borderId="12" xfId="0" applyFont="1" applyFill="1" applyBorder="1" applyAlignment="1">
      <alignment wrapText="1"/>
    </xf>
    <xf numFmtId="164" fontId="19" fillId="7" borderId="12" xfId="0" applyNumberFormat="1" applyFont="1" applyFill="1" applyBorder="1" applyAlignment="1">
      <alignment horizontal="right" vertical="center" wrapText="1"/>
    </xf>
    <xf numFmtId="0" fontId="12" fillId="0" borderId="12" xfId="0" applyFont="1" applyBorder="1" applyAlignment="1">
      <alignment horizontal="center" wrapText="1"/>
    </xf>
    <xf numFmtId="0" fontId="10" fillId="9" borderId="12" xfId="0" applyFont="1" applyFill="1" applyBorder="1" applyAlignment="1">
      <alignment wrapText="1"/>
    </xf>
    <xf numFmtId="164" fontId="19" fillId="9" borderId="12" xfId="0" applyNumberFormat="1" applyFont="1" applyFill="1" applyBorder="1" applyAlignment="1">
      <alignment horizontal="right" vertical="center" wrapText="1"/>
    </xf>
    <xf numFmtId="14" fontId="12" fillId="7" borderId="12" xfId="0" applyNumberFormat="1" applyFont="1" applyFill="1" applyBorder="1" applyAlignment="1">
      <alignment horizontal="center" vertical="center" wrapText="1"/>
    </xf>
    <xf numFmtId="0" fontId="20" fillId="11" borderId="12" xfId="0" applyFont="1" applyFill="1" applyBorder="1" applyAlignment="1">
      <alignment wrapText="1"/>
    </xf>
    <xf numFmtId="0" fontId="10" fillId="4" borderId="12" xfId="0" applyFont="1" applyFill="1" applyBorder="1" applyAlignment="1">
      <alignment wrapText="1"/>
    </xf>
    <xf numFmtId="0" fontId="22" fillId="4" borderId="12" xfId="0" applyFont="1" applyFill="1" applyBorder="1" applyAlignment="1">
      <alignment horizontal="center" vertical="center" wrapText="1"/>
    </xf>
    <xf numFmtId="14" fontId="12" fillId="4" borderId="12" xfId="0" applyNumberFormat="1" applyFont="1" applyFill="1" applyBorder="1" applyAlignment="1">
      <alignment horizontal="right" vertical="center" wrapText="1"/>
    </xf>
    <xf numFmtId="164" fontId="19" fillId="4" borderId="12" xfId="0" applyNumberFormat="1" applyFont="1" applyFill="1" applyBorder="1" applyAlignment="1">
      <alignment horizontal="right" vertical="center" wrapText="1"/>
    </xf>
    <xf numFmtId="0" fontId="12" fillId="4" borderId="12" xfId="0" applyFont="1" applyFill="1" applyBorder="1" applyAlignment="1">
      <alignment wrapText="1"/>
    </xf>
    <xf numFmtId="0" fontId="22" fillId="9" borderId="12" xfId="0" applyFont="1" applyFill="1" applyBorder="1" applyAlignment="1">
      <alignment horizontal="center" vertical="center" wrapText="1"/>
    </xf>
    <xf numFmtId="14" fontId="12" fillId="9" borderId="12" xfId="0" applyNumberFormat="1" applyFont="1" applyFill="1" applyBorder="1" applyAlignment="1">
      <alignment horizontal="right" vertical="center" wrapText="1"/>
    </xf>
    <xf numFmtId="0" fontId="12" fillId="9" borderId="12" xfId="0" applyFont="1" applyFill="1" applyBorder="1" applyAlignment="1">
      <alignment wrapText="1"/>
    </xf>
    <xf numFmtId="0" fontId="10" fillId="9" borderId="12" xfId="0" applyFont="1" applyFill="1" applyBorder="1" applyAlignment="1">
      <alignment vertical="center" wrapText="1"/>
    </xf>
    <xf numFmtId="14" fontId="12" fillId="9" borderId="12" xfId="0" applyNumberFormat="1" applyFont="1" applyFill="1" applyBorder="1" applyAlignment="1">
      <alignment horizontal="center" vertical="center" wrapText="1"/>
    </xf>
    <xf numFmtId="164" fontId="19" fillId="9" borderId="12" xfId="2" applyNumberFormat="1" applyFont="1" applyFill="1" applyBorder="1" applyAlignment="1" applyProtection="1">
      <alignment horizontal="right" vertical="center" wrapText="1"/>
      <protection locked="0"/>
    </xf>
    <xf numFmtId="0" fontId="16" fillId="9" borderId="12" xfId="0" applyFont="1" applyFill="1" applyBorder="1" applyAlignment="1">
      <alignment horizontal="center" vertical="center" wrapText="1"/>
    </xf>
    <xf numFmtId="164" fontId="19" fillId="0" borderId="12" xfId="1" applyNumberFormat="1" applyFont="1" applyBorder="1" applyAlignment="1" applyProtection="1">
      <alignment horizontal="right" vertical="center" wrapText="1"/>
      <protection locked="0"/>
    </xf>
    <xf numFmtId="0" fontId="20" fillId="11" borderId="12" xfId="0" applyFont="1" applyFill="1" applyBorder="1" applyAlignment="1">
      <alignment horizontal="center" vertical="top" wrapText="1"/>
    </xf>
    <xf numFmtId="0" fontId="23" fillId="0" borderId="12" xfId="3" applyFont="1" applyBorder="1" applyAlignment="1">
      <alignment wrapText="1"/>
    </xf>
    <xf numFmtId="0" fontId="10" fillId="4" borderId="12" xfId="0" applyFont="1" applyFill="1" applyBorder="1" applyAlignment="1">
      <alignment horizontal="center" vertical="center" wrapText="1"/>
    </xf>
    <xf numFmtId="14" fontId="10" fillId="4" borderId="12" xfId="0" applyNumberFormat="1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vertical="center" wrapText="1"/>
    </xf>
    <xf numFmtId="164" fontId="19" fillId="7" borderId="12" xfId="1" applyNumberFormat="1" applyFont="1" applyFill="1" applyBorder="1" applyAlignment="1" applyProtection="1">
      <alignment horizontal="right" vertical="center" wrapText="1"/>
      <protection locked="0"/>
    </xf>
    <xf numFmtId="0" fontId="21" fillId="0" borderId="12" xfId="0" applyFont="1" applyBorder="1" applyAlignment="1">
      <alignment horizontal="center" wrapText="1"/>
    </xf>
    <xf numFmtId="0" fontId="12" fillId="7" borderId="12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8" fillId="0" borderId="19" xfId="0" applyFont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left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left" vertical="center" wrapText="1"/>
    </xf>
    <xf numFmtId="0" fontId="18" fillId="7" borderId="12" xfId="0" applyFont="1" applyFill="1" applyBorder="1" applyAlignment="1">
      <alignment vertical="center" wrapText="1"/>
    </xf>
    <xf numFmtId="14" fontId="12" fillId="7" borderId="12" xfId="0" applyNumberFormat="1" applyFont="1" applyFill="1" applyBorder="1" applyAlignment="1">
      <alignment wrapText="1"/>
    </xf>
    <xf numFmtId="0" fontId="12" fillId="9" borderId="12" xfId="0" applyFont="1" applyFill="1" applyBorder="1" applyAlignment="1">
      <alignment vertical="center" wrapText="1"/>
    </xf>
    <xf numFmtId="14" fontId="12" fillId="0" borderId="12" xfId="0" applyNumberFormat="1" applyFont="1" applyBorder="1" applyAlignment="1">
      <alignment vertical="center" wrapText="1"/>
    </xf>
    <xf numFmtId="0" fontId="23" fillId="9" borderId="12" xfId="3" applyFont="1" applyFill="1" applyBorder="1" applyAlignment="1">
      <alignment vertical="center" wrapText="1"/>
    </xf>
    <xf numFmtId="14" fontId="12" fillId="9" borderId="12" xfId="0" applyNumberFormat="1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11" fillId="0" borderId="0" xfId="0" applyFont="1" applyAlignment="1"/>
    <xf numFmtId="0" fontId="14" fillId="0" borderId="6" xfId="0" applyFont="1" applyBorder="1" applyAlignment="1">
      <alignment wrapText="1"/>
    </xf>
    <xf numFmtId="15" fontId="10" fillId="0" borderId="7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wrapText="1"/>
    </xf>
    <xf numFmtId="15" fontId="10" fillId="0" borderId="7" xfId="0" applyNumberFormat="1" applyFont="1" applyBorder="1" applyAlignment="1">
      <alignment horizontal="center" wrapText="1"/>
    </xf>
    <xf numFmtId="14" fontId="10" fillId="0" borderId="7" xfId="0" applyNumberFormat="1" applyFont="1" applyBorder="1" applyAlignment="1">
      <alignment horizontal="center" wrapText="1"/>
    </xf>
    <xf numFmtId="14" fontId="10" fillId="0" borderId="7" xfId="0" applyNumberFormat="1" applyFont="1" applyBorder="1" applyAlignment="1">
      <alignment horizontal="center" vertical="center" wrapText="1"/>
    </xf>
    <xf numFmtId="15" fontId="10" fillId="0" borderId="10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24" fillId="0" borderId="7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/>
    </xf>
    <xf numFmtId="0" fontId="10" fillId="0" borderId="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wrapText="1"/>
    </xf>
    <xf numFmtId="0" fontId="10" fillId="0" borderId="7" xfId="0" quotePrefix="1" applyFont="1" applyBorder="1" applyAlignment="1">
      <alignment horizontal="center" wrapText="1"/>
    </xf>
    <xf numFmtId="0" fontId="10" fillId="6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left" vertical="center" wrapText="1"/>
    </xf>
    <xf numFmtId="0" fontId="25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/>
    </xf>
    <xf numFmtId="0" fontId="25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wrapText="1"/>
    </xf>
    <xf numFmtId="0" fontId="25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wrapText="1"/>
    </xf>
    <xf numFmtId="0" fontId="10" fillId="4" borderId="7" xfId="0" applyFont="1" applyFill="1" applyBorder="1" applyAlignment="1">
      <alignment horizontal="center"/>
    </xf>
    <xf numFmtId="0" fontId="10" fillId="0" borderId="7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shrinkToFit="1"/>
    </xf>
    <xf numFmtId="0" fontId="10" fillId="2" borderId="7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 wrapText="1"/>
    </xf>
    <xf numFmtId="0" fontId="10" fillId="0" borderId="7" xfId="0" applyFont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left"/>
    </xf>
    <xf numFmtId="0" fontId="10" fillId="2" borderId="1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0" fillId="0" borderId="7" xfId="0" applyFont="1" applyBorder="1" applyAlignment="1">
      <alignment horizontal="right" vertical="center" wrapText="1"/>
    </xf>
    <xf numFmtId="4" fontId="10" fillId="0" borderId="7" xfId="0" applyNumberFormat="1" applyFont="1" applyBorder="1" applyAlignment="1">
      <alignment horizontal="right" vertical="center" wrapText="1"/>
    </xf>
    <xf numFmtId="4" fontId="10" fillId="0" borderId="9" xfId="0" applyNumberFormat="1" applyFont="1" applyBorder="1" applyAlignment="1">
      <alignment horizontal="right" vertical="center" wrapText="1"/>
    </xf>
    <xf numFmtId="43" fontId="10" fillId="0" borderId="7" xfId="1" applyFont="1" applyBorder="1" applyAlignment="1">
      <alignment horizontal="right" vertical="center" wrapText="1"/>
    </xf>
    <xf numFmtId="43" fontId="10" fillId="0" borderId="9" xfId="1" applyFont="1" applyFill="1" applyBorder="1" applyAlignment="1">
      <alignment horizontal="right" vertical="center" wrapText="1"/>
    </xf>
    <xf numFmtId="4" fontId="10" fillId="0" borderId="10" xfId="0" applyNumberFormat="1" applyFont="1" applyBorder="1" applyAlignment="1">
      <alignment horizontal="right" vertical="center" wrapText="1"/>
    </xf>
    <xf numFmtId="43" fontId="10" fillId="0" borderId="7" xfId="1" applyFont="1" applyFill="1" applyBorder="1" applyAlignment="1">
      <alignment horizontal="right" vertical="center" wrapText="1"/>
    </xf>
    <xf numFmtId="43" fontId="10" fillId="0" borderId="10" xfId="1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 vertical="center" shrinkToFit="1"/>
    </xf>
    <xf numFmtId="43" fontId="13" fillId="0" borderId="0" xfId="0" applyNumberFormat="1" applyFont="1" applyAlignment="1"/>
    <xf numFmtId="0" fontId="13" fillId="12" borderId="0" xfId="0" applyFont="1" applyFill="1" applyAlignment="1"/>
    <xf numFmtId="0" fontId="27" fillId="0" borderId="0" xfId="0" applyFont="1" applyAlignment="1"/>
    <xf numFmtId="43" fontId="13" fillId="12" borderId="0" xfId="0" applyNumberFormat="1" applyFont="1" applyFill="1" applyAlignment="1"/>
    <xf numFmtId="43" fontId="10" fillId="4" borderId="0" xfId="1" applyFont="1" applyFill="1" applyAlignment="1">
      <alignment horizontal="center"/>
    </xf>
    <xf numFmtId="0" fontId="13" fillId="13" borderId="0" xfId="0" applyFont="1" applyFill="1" applyAlignment="1"/>
    <xf numFmtId="43" fontId="28" fillId="13" borderId="0" xfId="0" applyNumberFormat="1" applyFont="1" applyFill="1" applyAlignment="1"/>
    <xf numFmtId="43" fontId="13" fillId="13" borderId="0" xfId="0" applyNumberFormat="1" applyFont="1" applyFill="1" applyAlignment="1"/>
    <xf numFmtId="4" fontId="13" fillId="0" borderId="0" xfId="0" applyNumberFormat="1" applyFont="1" applyAlignment="1"/>
    <xf numFmtId="43" fontId="10" fillId="0" borderId="0" xfId="0" applyNumberFormat="1" applyFont="1" applyAlignment="1">
      <alignment horizontal="center"/>
    </xf>
    <xf numFmtId="43" fontId="13" fillId="14" borderId="0" xfId="0" applyNumberFormat="1" applyFont="1" applyFill="1" applyAlignment="1"/>
    <xf numFmtId="0" fontId="13" fillId="14" borderId="0" xfId="0" applyFont="1" applyFill="1" applyAlignment="1"/>
    <xf numFmtId="4" fontId="13" fillId="12" borderId="0" xfId="0" applyNumberFormat="1" applyFont="1" applyFill="1" applyAlignment="1"/>
    <xf numFmtId="0" fontId="13" fillId="15" borderId="0" xfId="0" applyFont="1" applyFill="1" applyAlignment="1"/>
    <xf numFmtId="4" fontId="13" fillId="15" borderId="0" xfId="0" applyNumberFormat="1" applyFont="1" applyFill="1" applyAlignment="1"/>
    <xf numFmtId="4" fontId="27" fillId="15" borderId="0" xfId="0" applyNumberFormat="1" applyFont="1" applyFill="1" applyAlignment="1"/>
    <xf numFmtId="0" fontId="13" fillId="10" borderId="0" xfId="0" applyFont="1" applyFill="1" applyAlignment="1"/>
    <xf numFmtId="43" fontId="13" fillId="0" borderId="0" xfId="1" applyFont="1" applyAlignment="1"/>
    <xf numFmtId="4" fontId="13" fillId="16" borderId="0" xfId="0" applyNumberFormat="1" applyFont="1" applyFill="1" applyAlignment="1"/>
    <xf numFmtId="15" fontId="10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43" fontId="10" fillId="0" borderId="7" xfId="1" applyFont="1" applyBorder="1" applyAlignment="1">
      <alignment horizontal="right" vertical="center" shrinkToFit="1"/>
    </xf>
    <xf numFmtId="0" fontId="17" fillId="0" borderId="0" xfId="0" applyFont="1" applyAlignment="1"/>
    <xf numFmtId="43" fontId="13" fillId="4" borderId="0" xfId="0" applyNumberFormat="1" applyFont="1" applyFill="1" applyAlignment="1"/>
    <xf numFmtId="0" fontId="10" fillId="0" borderId="8" xfId="0" applyFont="1" applyBorder="1" applyAlignment="1">
      <alignment horizontal="center"/>
    </xf>
    <xf numFmtId="14" fontId="12" fillId="0" borderId="7" xfId="0" applyNumberFormat="1" applyFont="1" applyBorder="1" applyAlignment="1">
      <alignment horizontal="right" wrapText="1"/>
    </xf>
    <xf numFmtId="43" fontId="13" fillId="10" borderId="0" xfId="0" applyNumberFormat="1" applyFont="1" applyFill="1" applyAlignment="1"/>
    <xf numFmtId="4" fontId="10" fillId="0" borderId="7" xfId="0" applyNumberFormat="1" applyFont="1" applyBorder="1" applyAlignment="1">
      <alignment horizontal="right" vertical="center" shrinkToFit="1"/>
    </xf>
    <xf numFmtId="0" fontId="3" fillId="0" borderId="0" xfId="0" applyFont="1" applyAlignment="1"/>
    <xf numFmtId="0" fontId="0" fillId="0" borderId="0" xfId="0" applyFont="1" applyAlignment="1"/>
    <xf numFmtId="0" fontId="6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31" xfId="0" applyFont="1" applyBorder="1" applyAlignment="1"/>
    <xf numFmtId="0" fontId="0" fillId="0" borderId="5" xfId="0" applyFont="1" applyBorder="1" applyAlignment="1"/>
    <xf numFmtId="0" fontId="0" fillId="0" borderId="24" xfId="0" applyFont="1" applyBorder="1" applyAlignment="1"/>
    <xf numFmtId="0" fontId="4" fillId="0" borderId="5" xfId="0" applyFont="1" applyBorder="1"/>
    <xf numFmtId="0" fontId="6" fillId="0" borderId="5" xfId="0" applyFont="1" applyBorder="1"/>
    <xf numFmtId="0" fontId="4" fillId="0" borderId="31" xfId="0" applyFont="1" applyBorder="1" applyAlignment="1">
      <alignment vertical="center"/>
    </xf>
    <xf numFmtId="0" fontId="4" fillId="0" borderId="31" xfId="0" applyFont="1" applyBorder="1"/>
    <xf numFmtId="0" fontId="6" fillId="0" borderId="31" xfId="0" applyFont="1" applyBorder="1"/>
    <xf numFmtId="0" fontId="6" fillId="0" borderId="16" xfId="0" applyFont="1" applyBorder="1"/>
    <xf numFmtId="0" fontId="6" fillId="0" borderId="32" xfId="0" applyFont="1" applyBorder="1" applyAlignment="1">
      <alignment wrapText="1"/>
    </xf>
    <xf numFmtId="0" fontId="6" fillId="0" borderId="24" xfId="0" applyFont="1" applyBorder="1"/>
    <xf numFmtId="0" fontId="6" fillId="0" borderId="27" xfId="0" applyFont="1" applyBorder="1"/>
    <xf numFmtId="0" fontId="6" fillId="0" borderId="32" xfId="0" applyFont="1" applyBorder="1"/>
    <xf numFmtId="0" fontId="0" fillId="0" borderId="20" xfId="0" applyFont="1" applyBorder="1" applyAlignment="1"/>
    <xf numFmtId="0" fontId="0" fillId="0" borderId="30" xfId="0" applyFont="1" applyBorder="1" applyAlignment="1"/>
    <xf numFmtId="14" fontId="6" fillId="0" borderId="30" xfId="0" applyNumberFormat="1" applyFont="1" applyBorder="1"/>
    <xf numFmtId="0" fontId="0" fillId="0" borderId="26" xfId="0" applyFont="1" applyBorder="1" applyAlignment="1"/>
    <xf numFmtId="14" fontId="6" fillId="0" borderId="5" xfId="0" applyNumberFormat="1" applyFont="1" applyBorder="1"/>
    <xf numFmtId="0" fontId="4" fillId="0" borderId="16" xfId="0" applyFont="1" applyBorder="1" applyAlignment="1">
      <alignment horizontal="left"/>
    </xf>
    <xf numFmtId="0" fontId="0" fillId="0" borderId="32" xfId="0" applyFont="1" applyBorder="1" applyAlignment="1"/>
    <xf numFmtId="14" fontId="6" fillId="0" borderId="32" xfId="0" applyNumberFormat="1" applyFont="1" applyBorder="1"/>
    <xf numFmtId="0" fontId="0" fillId="0" borderId="27" xfId="0" applyFont="1" applyBorder="1" applyAlignment="1"/>
    <xf numFmtId="0" fontId="5" fillId="0" borderId="26" xfId="0" applyFont="1" applyBorder="1"/>
    <xf numFmtId="0" fontId="5" fillId="0" borderId="30" xfId="0" applyFont="1" applyBorder="1"/>
    <xf numFmtId="0" fontId="8" fillId="0" borderId="31" xfId="0" applyFont="1" applyBorder="1"/>
    <xf numFmtId="0" fontId="0" fillId="0" borderId="16" xfId="0" applyFont="1" applyBorder="1" applyAlignment="1"/>
    <xf numFmtId="0" fontId="5" fillId="0" borderId="32" xfId="0" applyFont="1" applyBorder="1"/>
    <xf numFmtId="0" fontId="6" fillId="0" borderId="5" xfId="0" applyFont="1" applyBorder="1" applyAlignment="1">
      <alignment vertical="center" wrapText="1"/>
    </xf>
    <xf numFmtId="0" fontId="7" fillId="0" borderId="20" xfId="0" applyFont="1" applyBorder="1" applyAlignment="1">
      <alignment vertical="center"/>
    </xf>
    <xf numFmtId="0" fontId="38" fillId="0" borderId="0" xfId="0" applyFont="1" applyAlignment="1">
      <alignment wrapText="1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43" fontId="10" fillId="0" borderId="10" xfId="1" applyFont="1" applyBorder="1" applyAlignment="1">
      <alignment horizontal="right" vertical="center"/>
    </xf>
    <xf numFmtId="43" fontId="10" fillId="0" borderId="7" xfId="1" applyFont="1" applyBorder="1" applyAlignment="1">
      <alignment horizontal="right" vertical="center"/>
    </xf>
    <xf numFmtId="4" fontId="10" fillId="0" borderId="7" xfId="0" applyNumberFormat="1" applyFont="1" applyBorder="1" applyAlignment="1">
      <alignment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0" fillId="0" borderId="11" xfId="0" applyFont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7" xfId="0" quotePrefix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8" xfId="0" applyFont="1" applyBorder="1" applyAlignment="1">
      <alignment horizontal="center" wrapText="1"/>
    </xf>
    <xf numFmtId="0" fontId="10" fillId="4" borderId="12" xfId="0" applyFont="1" applyFill="1" applyBorder="1" applyAlignment="1">
      <alignment horizontal="center"/>
    </xf>
    <xf numFmtId="0" fontId="10" fillId="0" borderId="12" xfId="0" applyFont="1" applyBorder="1" applyAlignment="1">
      <alignment horizontal="center" wrapText="1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41" fillId="0" borderId="0" xfId="0" applyFont="1" applyAlignment="1"/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12" fillId="4" borderId="19" xfId="0" applyFont="1" applyFill="1" applyBorder="1" applyAlignment="1">
      <alignment vertical="center" wrapText="1"/>
    </xf>
    <xf numFmtId="0" fontId="18" fillId="4" borderId="34" xfId="0" applyFont="1" applyFill="1" applyBorder="1" applyAlignment="1">
      <alignment horizontal="center" wrapText="1"/>
    </xf>
    <xf numFmtId="0" fontId="18" fillId="4" borderId="35" xfId="0" applyFont="1" applyFill="1" applyBorder="1" applyAlignment="1">
      <alignment horizontal="center" wrapText="1"/>
    </xf>
    <xf numFmtId="0" fontId="18" fillId="4" borderId="17" xfId="0" applyFont="1" applyFill="1" applyBorder="1" applyAlignment="1">
      <alignment wrapText="1"/>
    </xf>
    <xf numFmtId="0" fontId="18" fillId="8" borderId="10" xfId="0" applyFont="1" applyFill="1" applyBorder="1" applyAlignment="1">
      <alignment horizontal="center" vertical="center" wrapText="1"/>
    </xf>
    <xf numFmtId="14" fontId="18" fillId="4" borderId="27" xfId="0" applyNumberFormat="1" applyFont="1" applyFill="1" applyBorder="1" applyAlignment="1">
      <alignment horizontal="center" wrapText="1"/>
    </xf>
    <xf numFmtId="0" fontId="18" fillId="4" borderId="23" xfId="0" applyFont="1" applyFill="1" applyBorder="1" applyAlignment="1">
      <alignment wrapText="1"/>
    </xf>
    <xf numFmtId="0" fontId="18" fillId="4" borderId="7" xfId="0" applyFont="1" applyFill="1" applyBorder="1" applyAlignment="1">
      <alignment horizontal="center" wrapText="1"/>
    </xf>
    <xf numFmtId="14" fontId="20" fillId="7" borderId="22" xfId="0" applyNumberFormat="1" applyFont="1" applyFill="1" applyBorder="1" applyAlignment="1">
      <alignment horizontal="center" wrapText="1"/>
    </xf>
    <xf numFmtId="0" fontId="18" fillId="4" borderId="40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left" vertical="center" wrapText="1"/>
    </xf>
    <xf numFmtId="14" fontId="18" fillId="4" borderId="7" xfId="0" applyNumberFormat="1" applyFont="1" applyFill="1" applyBorder="1" applyAlignment="1">
      <alignment horizontal="center" wrapText="1"/>
    </xf>
    <xf numFmtId="0" fontId="2" fillId="0" borderId="0" xfId="0" applyFont="1" applyAlignment="1"/>
    <xf numFmtId="14" fontId="2" fillId="0" borderId="0" xfId="0" applyNumberFormat="1" applyFont="1" applyAlignment="1"/>
    <xf numFmtId="0" fontId="16" fillId="8" borderId="18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 applyProtection="1">
      <alignment vertical="center" wrapText="1"/>
      <protection locked="0"/>
    </xf>
    <xf numFmtId="0" fontId="18" fillId="9" borderId="14" xfId="0" applyFont="1" applyFill="1" applyBorder="1" applyAlignment="1">
      <alignment horizontal="center" vertical="center" wrapText="1"/>
    </xf>
    <xf numFmtId="0" fontId="18" fillId="9" borderId="36" xfId="0" applyFont="1" applyFill="1" applyBorder="1" applyAlignment="1">
      <alignment vertical="center" wrapText="1"/>
    </xf>
    <xf numFmtId="0" fontId="18" fillId="9" borderId="7" xfId="0" applyFont="1" applyFill="1" applyBorder="1" applyAlignment="1">
      <alignment horizontal="center" vertical="center" wrapText="1"/>
    </xf>
    <xf numFmtId="14" fontId="12" fillId="9" borderId="7" xfId="0" applyNumberFormat="1" applyFont="1" applyFill="1" applyBorder="1" applyAlignment="1">
      <alignment horizontal="center" vertical="center" wrapText="1"/>
    </xf>
    <xf numFmtId="164" fontId="19" fillId="9" borderId="37" xfId="0" applyNumberFormat="1" applyFont="1" applyFill="1" applyBorder="1" applyAlignment="1">
      <alignment horizontal="right" vertical="center" wrapText="1"/>
    </xf>
    <xf numFmtId="0" fontId="10" fillId="9" borderId="38" xfId="0" applyFont="1" applyFill="1" applyBorder="1" applyAlignment="1">
      <alignment horizontal="left" vertical="center" wrapText="1"/>
    </xf>
    <xf numFmtId="0" fontId="18" fillId="9" borderId="38" xfId="0" applyFont="1" applyFill="1" applyBorder="1" applyAlignment="1">
      <alignment horizontal="center" vertical="center" wrapText="1"/>
    </xf>
    <xf numFmtId="0" fontId="16" fillId="9" borderId="22" xfId="0" applyFont="1" applyFill="1" applyBorder="1" applyAlignment="1">
      <alignment horizontal="center" vertical="center" wrapText="1"/>
    </xf>
    <xf numFmtId="0" fontId="18" fillId="9" borderId="22" xfId="0" applyFont="1" applyFill="1" applyBorder="1" applyAlignment="1">
      <alignment horizontal="center" vertical="center" wrapText="1"/>
    </xf>
    <xf numFmtId="0" fontId="18" fillId="9" borderId="23" xfId="0" applyFont="1" applyFill="1" applyBorder="1" applyAlignment="1">
      <alignment vertical="center" wrapText="1"/>
    </xf>
    <xf numFmtId="0" fontId="12" fillId="9" borderId="16" xfId="0" applyFont="1" applyFill="1" applyBorder="1" applyAlignment="1">
      <alignment horizontal="center" vertical="center" wrapText="1"/>
    </xf>
    <xf numFmtId="14" fontId="12" fillId="9" borderId="9" xfId="0" applyNumberFormat="1" applyFont="1" applyFill="1" applyBorder="1" applyAlignment="1">
      <alignment horizontal="center" vertical="center" wrapText="1"/>
    </xf>
    <xf numFmtId="164" fontId="19" fillId="9" borderId="25" xfId="0" applyNumberFormat="1" applyFont="1" applyFill="1" applyBorder="1" applyAlignment="1">
      <alignment horizontal="right" vertical="center" wrapText="1"/>
    </xf>
    <xf numFmtId="0" fontId="10" fillId="9" borderId="22" xfId="0" applyFont="1" applyFill="1" applyBorder="1" applyAlignment="1">
      <alignment horizontal="left" vertical="center" wrapText="1"/>
    </xf>
    <xf numFmtId="0" fontId="10" fillId="9" borderId="7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horizontal="center" wrapText="1"/>
    </xf>
    <xf numFmtId="14" fontId="10" fillId="9" borderId="7" xfId="0" applyNumberFormat="1" applyFont="1" applyFill="1" applyBorder="1" applyAlignment="1">
      <alignment horizontal="center" vertical="center" wrapText="1"/>
    </xf>
    <xf numFmtId="164" fontId="19" fillId="9" borderId="7" xfId="0" applyNumberFormat="1" applyFont="1" applyFill="1" applyBorder="1" applyAlignment="1">
      <alignment horizontal="right" vertical="center" wrapText="1"/>
    </xf>
    <xf numFmtId="0" fontId="12" fillId="9" borderId="7" xfId="0" applyFont="1" applyFill="1" applyBorder="1" applyAlignment="1">
      <alignment vertical="center" wrapText="1"/>
    </xf>
    <xf numFmtId="0" fontId="20" fillId="9" borderId="7" xfId="0" applyFont="1" applyFill="1" applyBorder="1" applyAlignment="1">
      <alignment wrapText="1"/>
    </xf>
    <xf numFmtId="0" fontId="12" fillId="9" borderId="19" xfId="0" applyFont="1" applyFill="1" applyBorder="1" applyAlignment="1">
      <alignment vertical="center" wrapText="1"/>
    </xf>
    <xf numFmtId="0" fontId="10" fillId="9" borderId="9" xfId="0" applyFont="1" applyFill="1" applyBorder="1" applyAlignment="1">
      <alignment vertical="center" wrapText="1"/>
    </xf>
    <xf numFmtId="0" fontId="10" fillId="9" borderId="9" xfId="0" applyFont="1" applyFill="1" applyBorder="1" applyAlignment="1">
      <alignment horizontal="center" vertical="center" wrapText="1"/>
    </xf>
    <xf numFmtId="14" fontId="10" fillId="9" borderId="9" xfId="0" applyNumberFormat="1" applyFont="1" applyFill="1" applyBorder="1" applyAlignment="1">
      <alignment horizontal="center" vertical="center" wrapText="1"/>
    </xf>
    <xf numFmtId="164" fontId="19" fillId="9" borderId="9" xfId="0" applyNumberFormat="1" applyFont="1" applyFill="1" applyBorder="1" applyAlignment="1">
      <alignment horizontal="right" vertical="center" wrapText="1"/>
    </xf>
    <xf numFmtId="0" fontId="12" fillId="9" borderId="39" xfId="0" applyFont="1" applyFill="1" applyBorder="1" applyAlignment="1">
      <alignment vertical="center" wrapText="1"/>
    </xf>
    <xf numFmtId="0" fontId="20" fillId="9" borderId="9" xfId="0" applyFont="1" applyFill="1" applyBorder="1" applyAlignment="1">
      <alignment wrapText="1"/>
    </xf>
    <xf numFmtId="0" fontId="18" fillId="9" borderId="9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vertical="center" wrapText="1"/>
    </xf>
    <xf numFmtId="0" fontId="18" fillId="4" borderId="12" xfId="0" applyFont="1" applyFill="1" applyBorder="1" applyAlignment="1">
      <alignment vertical="center" wrapText="1"/>
    </xf>
    <xf numFmtId="14" fontId="12" fillId="4" borderId="12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/>
    <xf numFmtId="0" fontId="2" fillId="0" borderId="7" xfId="0" applyFont="1" applyBorder="1" applyAlignment="1"/>
    <xf numFmtId="0" fontId="4" fillId="17" borderId="20" xfId="0" applyFont="1" applyFill="1" applyBorder="1" applyAlignment="1">
      <alignment horizontal="center"/>
    </xf>
    <xf numFmtId="0" fontId="4" fillId="17" borderId="11" xfId="0" applyFont="1" applyFill="1" applyBorder="1" applyAlignment="1">
      <alignment horizontal="center"/>
    </xf>
    <xf numFmtId="0" fontId="5" fillId="0" borderId="29" xfId="0" applyFont="1" applyBorder="1"/>
    <xf numFmtId="0" fontId="5" fillId="0" borderId="8" xfId="0" applyFont="1" applyBorder="1"/>
    <xf numFmtId="0" fontId="1" fillId="0" borderId="0" xfId="0" applyFont="1" applyAlignment="1"/>
    <xf numFmtId="0" fontId="18" fillId="19" borderId="12" xfId="0" applyFont="1" applyFill="1" applyBorder="1" applyAlignment="1">
      <alignment horizontal="center" vertical="center" wrapText="1"/>
    </xf>
    <xf numFmtId="0" fontId="18" fillId="19" borderId="13" xfId="0" applyFont="1" applyFill="1" applyBorder="1" applyAlignment="1">
      <alignment vertical="center" wrapText="1"/>
    </xf>
    <xf numFmtId="0" fontId="18" fillId="19" borderId="13" xfId="0" applyFont="1" applyFill="1" applyBorder="1" applyAlignment="1">
      <alignment horizontal="center" vertical="center" wrapText="1"/>
    </xf>
    <xf numFmtId="14" fontId="12" fillId="19" borderId="9" xfId="0" applyNumberFormat="1" applyFont="1" applyFill="1" applyBorder="1" applyAlignment="1">
      <alignment horizontal="center" vertical="center" wrapText="1"/>
    </xf>
    <xf numFmtId="164" fontId="19" fillId="19" borderId="15" xfId="0" applyNumberFormat="1" applyFont="1" applyFill="1" applyBorder="1" applyAlignment="1">
      <alignment horizontal="right" vertical="center" wrapText="1"/>
    </xf>
    <xf numFmtId="0" fontId="10" fillId="19" borderId="12" xfId="0" applyFont="1" applyFill="1" applyBorder="1" applyAlignment="1">
      <alignment horizontal="left" vertical="center" wrapText="1"/>
    </xf>
    <xf numFmtId="0" fontId="16" fillId="19" borderId="12" xfId="0" applyFont="1" applyFill="1" applyBorder="1" applyAlignment="1">
      <alignment horizontal="center" vertical="center" wrapText="1"/>
    </xf>
    <xf numFmtId="0" fontId="10" fillId="19" borderId="7" xfId="0" applyFont="1" applyFill="1" applyBorder="1" applyAlignment="1">
      <alignment horizontal="center" vertical="center" wrapText="1"/>
    </xf>
    <xf numFmtId="0" fontId="18" fillId="19" borderId="7" xfId="0" applyFont="1" applyFill="1" applyBorder="1" applyAlignment="1">
      <alignment horizontal="left" vertical="center" wrapText="1"/>
    </xf>
    <xf numFmtId="0" fontId="18" fillId="19" borderId="7" xfId="0" applyFont="1" applyFill="1" applyBorder="1" applyAlignment="1">
      <alignment horizontal="center" vertical="center" wrapText="1"/>
    </xf>
    <xf numFmtId="14" fontId="18" fillId="19" borderId="7" xfId="0" applyNumberFormat="1" applyFont="1" applyFill="1" applyBorder="1" applyAlignment="1">
      <alignment horizontal="center" wrapText="1"/>
    </xf>
    <xf numFmtId="164" fontId="19" fillId="19" borderId="7" xfId="0" applyNumberFormat="1" applyFont="1" applyFill="1" applyBorder="1" applyAlignment="1">
      <alignment horizontal="right" vertical="center" wrapText="1"/>
    </xf>
    <xf numFmtId="0" fontId="18" fillId="19" borderId="7" xfId="0" applyFont="1" applyFill="1" applyBorder="1" applyAlignment="1">
      <alignment horizontal="center" wrapText="1"/>
    </xf>
    <xf numFmtId="0" fontId="18" fillId="19" borderId="12" xfId="0" applyFont="1" applyFill="1" applyBorder="1" applyAlignment="1">
      <alignment vertical="center" wrapText="1"/>
    </xf>
    <xf numFmtId="0" fontId="12" fillId="19" borderId="12" xfId="0" applyFont="1" applyFill="1" applyBorder="1" applyAlignment="1">
      <alignment vertical="center" wrapText="1"/>
    </xf>
    <xf numFmtId="14" fontId="12" fillId="19" borderId="12" xfId="0" applyNumberFormat="1" applyFont="1" applyFill="1" applyBorder="1" applyAlignment="1">
      <alignment horizontal="center" vertical="center" wrapText="1"/>
    </xf>
    <xf numFmtId="164" fontId="19" fillId="19" borderId="12" xfId="0" applyNumberFormat="1" applyFont="1" applyFill="1" applyBorder="1" applyAlignment="1">
      <alignment horizontal="right" vertical="center" wrapText="1"/>
    </xf>
    <xf numFmtId="0" fontId="10" fillId="19" borderId="12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>
      <alignment horizontal="center" wrapText="1"/>
    </xf>
    <xf numFmtId="0" fontId="21" fillId="7" borderId="12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vertical="center" wrapText="1"/>
    </xf>
    <xf numFmtId="0" fontId="18" fillId="7" borderId="17" xfId="0" applyFont="1" applyFill="1" applyBorder="1" applyAlignment="1">
      <alignment horizontal="center" vertical="center" wrapText="1"/>
    </xf>
    <xf numFmtId="14" fontId="12" fillId="7" borderId="18" xfId="0" applyNumberFormat="1" applyFont="1" applyFill="1" applyBorder="1" applyAlignment="1">
      <alignment horizontal="center" vertical="center" wrapText="1"/>
    </xf>
    <xf numFmtId="164" fontId="19" fillId="7" borderId="21" xfId="0" applyNumberFormat="1" applyFont="1" applyFill="1" applyBorder="1" applyAlignment="1">
      <alignment horizontal="right" vertical="center" wrapText="1"/>
    </xf>
    <xf numFmtId="0" fontId="10" fillId="7" borderId="19" xfId="0" applyFont="1" applyFill="1" applyBorder="1" applyAlignment="1">
      <alignment horizontal="left" vertical="center" wrapText="1"/>
    </xf>
    <xf numFmtId="0" fontId="18" fillId="7" borderId="19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8" fillId="7" borderId="36" xfId="0" applyFont="1" applyFill="1" applyBorder="1" applyAlignment="1">
      <alignment horizontal="left" vertical="center" wrapText="1"/>
    </xf>
    <xf numFmtId="0" fontId="18" fillId="7" borderId="11" xfId="0" applyFont="1" applyFill="1" applyBorder="1" applyAlignment="1">
      <alignment horizontal="center" wrapText="1"/>
    </xf>
    <xf numFmtId="14" fontId="18" fillId="7" borderId="8" xfId="0" applyNumberFormat="1" applyFont="1" applyFill="1" applyBorder="1" applyAlignment="1">
      <alignment horizontal="center" wrapText="1"/>
    </xf>
    <xf numFmtId="164" fontId="19" fillId="7" borderId="37" xfId="0" applyNumberFormat="1" applyFont="1" applyFill="1" applyBorder="1" applyAlignment="1">
      <alignment horizontal="center" vertical="center" wrapText="1"/>
    </xf>
    <xf numFmtId="0" fontId="18" fillId="7" borderId="38" xfId="0" applyFont="1" applyFill="1" applyBorder="1" applyAlignment="1">
      <alignment horizontal="center" vertical="center" wrapText="1"/>
    </xf>
    <xf numFmtId="0" fontId="18" fillId="7" borderId="36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wrapText="1"/>
    </xf>
    <xf numFmtId="0" fontId="18" fillId="7" borderId="8" xfId="0" applyFont="1" applyFill="1" applyBorder="1" applyAlignment="1">
      <alignment horizontal="center" vertical="center" wrapText="1"/>
    </xf>
    <xf numFmtId="0" fontId="10" fillId="0" borderId="10" xfId="0" quotePrefix="1" applyFont="1" applyBorder="1" applyAlignment="1">
      <alignment horizontal="center"/>
    </xf>
    <xf numFmtId="43" fontId="28" fillId="13" borderId="42" xfId="0" applyNumberFormat="1" applyFont="1" applyFill="1" applyBorder="1" applyAlignment="1"/>
    <xf numFmtId="43" fontId="28" fillId="14" borderId="0" xfId="0" applyNumberFormat="1" applyFont="1" applyFill="1" applyAlignment="1"/>
    <xf numFmtId="43" fontId="28" fillId="14" borderId="0" xfId="1" applyFont="1" applyFill="1" applyAlignment="1"/>
    <xf numFmtId="43" fontId="28" fillId="10" borderId="0" xfId="0" applyNumberFormat="1" applyFont="1" applyFill="1" applyAlignment="1"/>
    <xf numFmtId="0" fontId="27" fillId="10" borderId="0" xfId="0" applyFont="1" applyFill="1" applyAlignment="1"/>
    <xf numFmtId="0" fontId="27" fillId="15" borderId="0" xfId="0" applyFont="1" applyFill="1" applyAlignment="1"/>
    <xf numFmtId="43" fontId="11" fillId="0" borderId="0" xfId="0" applyNumberFormat="1" applyFont="1" applyAlignment="1"/>
    <xf numFmtId="43" fontId="10" fillId="0" borderId="0" xfId="1" applyFont="1" applyAlignment="1">
      <alignment horizontal="right" vertical="center" shrinkToFit="1"/>
    </xf>
    <xf numFmtId="4" fontId="53" fillId="11" borderId="0" xfId="0" applyNumberFormat="1" applyFont="1" applyFill="1" applyAlignment="1"/>
    <xf numFmtId="0" fontId="53" fillId="11" borderId="0" xfId="0" applyFont="1" applyFill="1" applyAlignment="1"/>
    <xf numFmtId="43" fontId="53" fillId="11" borderId="0" xfId="0" applyNumberFormat="1" applyFont="1" applyFill="1" applyAlignment="1"/>
    <xf numFmtId="0" fontId="41" fillId="11" borderId="0" xfId="0" applyFont="1" applyFill="1" applyAlignment="1"/>
    <xf numFmtId="4" fontId="41" fillId="11" borderId="0" xfId="0" applyNumberFormat="1" applyFont="1" applyFill="1" applyAlignment="1"/>
    <xf numFmtId="43" fontId="13" fillId="10" borderId="0" xfId="1" applyFont="1" applyFill="1" applyAlignment="1"/>
    <xf numFmtId="4" fontId="27" fillId="7" borderId="0" xfId="0" applyNumberFormat="1" applyFont="1" applyFill="1" applyAlignment="1"/>
    <xf numFmtId="43" fontId="27" fillId="7" borderId="0" xfId="0" applyNumberFormat="1" applyFont="1" applyFill="1" applyAlignment="1"/>
    <xf numFmtId="0" fontId="13" fillId="7" borderId="0" xfId="0" applyFont="1" applyFill="1" applyAlignment="1"/>
    <xf numFmtId="4" fontId="13" fillId="7" borderId="0" xfId="0" applyNumberFormat="1" applyFont="1" applyFill="1" applyAlignment="1"/>
    <xf numFmtId="43" fontId="54" fillId="0" borderId="0" xfId="0" applyNumberFormat="1" applyFont="1" applyAlignment="1"/>
    <xf numFmtId="0" fontId="10" fillId="19" borderId="12" xfId="0" applyFont="1" applyFill="1" applyBorder="1" applyAlignment="1">
      <alignment wrapText="1"/>
    </xf>
    <xf numFmtId="14" fontId="10" fillId="19" borderId="12" xfId="0" applyNumberFormat="1" applyFont="1" applyFill="1" applyBorder="1" applyAlignment="1">
      <alignment horizontal="center" vertical="center" wrapText="1"/>
    </xf>
    <xf numFmtId="0" fontId="12" fillId="19" borderId="12" xfId="0" applyFont="1" applyFill="1" applyBorder="1" applyAlignment="1">
      <alignment wrapText="1"/>
    </xf>
    <xf numFmtId="0" fontId="12" fillId="19" borderId="12" xfId="0" applyFont="1" applyFill="1" applyBorder="1" applyAlignment="1">
      <alignment horizontal="center" vertical="center" wrapText="1"/>
    </xf>
    <xf numFmtId="0" fontId="23" fillId="7" borderId="12" xfId="0" applyFont="1" applyFill="1" applyBorder="1" applyAlignment="1">
      <alignment vertical="center" wrapText="1"/>
    </xf>
    <xf numFmtId="0" fontId="23" fillId="19" borderId="12" xfId="0" applyFont="1" applyFill="1" applyBorder="1" applyAlignment="1">
      <alignment vertical="center" wrapText="1"/>
    </xf>
    <xf numFmtId="164" fontId="19" fillId="19" borderId="12" xfId="1" applyNumberFormat="1" applyFont="1" applyFill="1" applyBorder="1" applyAlignment="1" applyProtection="1">
      <alignment horizontal="right" vertical="center" wrapText="1"/>
      <protection locked="0"/>
    </xf>
    <xf numFmtId="0" fontId="20" fillId="19" borderId="12" xfId="0" applyFont="1" applyFill="1" applyBorder="1" applyAlignment="1">
      <alignment wrapText="1"/>
    </xf>
    <xf numFmtId="0" fontId="10" fillId="2" borderId="5" xfId="0" applyFont="1" applyFill="1" applyBorder="1" applyAlignment="1">
      <alignment horizontal="center" wrapText="1"/>
    </xf>
    <xf numFmtId="43" fontId="28" fillId="0" borderId="0" xfId="0" applyNumberFormat="1" applyFont="1" applyFill="1" applyAlignment="1"/>
    <xf numFmtId="43" fontId="28" fillId="0" borderId="0" xfId="1" applyFont="1" applyFill="1" applyAlignment="1"/>
    <xf numFmtId="0" fontId="13" fillId="0" borderId="0" xfId="0" applyFont="1" applyFill="1" applyAlignment="1"/>
    <xf numFmtId="43" fontId="13" fillId="0" borderId="0" xfId="0" applyNumberFormat="1" applyFont="1" applyFill="1" applyAlignment="1"/>
    <xf numFmtId="0" fontId="10" fillId="19" borderId="12" xfId="0" applyFont="1" applyFill="1" applyBorder="1" applyAlignment="1">
      <alignment vertical="center" wrapText="1"/>
    </xf>
    <xf numFmtId="164" fontId="19" fillId="19" borderId="12" xfId="2" applyNumberFormat="1" applyFont="1" applyFill="1" applyBorder="1" applyAlignment="1">
      <alignment horizontal="right" vertical="center" wrapText="1"/>
    </xf>
    <xf numFmtId="0" fontId="16" fillId="19" borderId="12" xfId="0" applyFont="1" applyFill="1" applyBorder="1" applyAlignment="1">
      <alignment horizontal="center" wrapText="1"/>
    </xf>
    <xf numFmtId="164" fontId="19" fillId="19" borderId="12" xfId="2" applyNumberFormat="1" applyFont="1" applyFill="1" applyBorder="1" applyAlignment="1" applyProtection="1">
      <alignment horizontal="right" vertical="center" wrapText="1"/>
      <protection locked="0"/>
    </xf>
    <xf numFmtId="0" fontId="20" fillId="19" borderId="7" xfId="0" applyFont="1" applyFill="1" applyBorder="1" applyAlignment="1">
      <alignment wrapText="1"/>
    </xf>
    <xf numFmtId="164" fontId="19" fillId="19" borderId="12" xfId="1" applyNumberFormat="1" applyFont="1" applyFill="1" applyBorder="1" applyAlignment="1">
      <alignment horizontal="right" vertical="center" wrapText="1"/>
    </xf>
    <xf numFmtId="0" fontId="12" fillId="19" borderId="12" xfId="0" applyFont="1" applyFill="1" applyBorder="1" applyAlignment="1">
      <alignment horizontal="right" vertical="center" wrapText="1"/>
    </xf>
    <xf numFmtId="14" fontId="12" fillId="19" borderId="12" xfId="0" applyNumberFormat="1" applyFont="1" applyFill="1" applyBorder="1" applyAlignment="1">
      <alignment wrapText="1"/>
    </xf>
    <xf numFmtId="0" fontId="10" fillId="0" borderId="7" xfId="0" applyFont="1" applyBorder="1" applyAlignment="1">
      <alignment vertical="center" wrapText="1"/>
    </xf>
    <xf numFmtId="43" fontId="10" fillId="0" borderId="7" xfId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vertical="center" wrapText="1"/>
    </xf>
    <xf numFmtId="43" fontId="10" fillId="0" borderId="7" xfId="1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0" fillId="0" borderId="7" xfId="0" quotePrefix="1" applyFont="1" applyBorder="1" applyAlignment="1">
      <alignment vertical="center" wrapText="1"/>
    </xf>
    <xf numFmtId="0" fontId="12" fillId="0" borderId="0" xfId="0" applyFont="1" applyAlignment="1"/>
    <xf numFmtId="0" fontId="12" fillId="0" borderId="7" xfId="0" applyFont="1" applyBorder="1" applyAlignment="1"/>
    <xf numFmtId="0" fontId="12" fillId="0" borderId="7" xfId="0" applyFont="1" applyBorder="1" applyAlignment="1">
      <alignment vertical="center"/>
    </xf>
    <xf numFmtId="14" fontId="10" fillId="0" borderId="7" xfId="0" quotePrefix="1" applyNumberFormat="1" applyFont="1" applyBorder="1" applyAlignment="1">
      <alignment horizontal="center" vertical="center" wrapText="1"/>
    </xf>
    <xf numFmtId="4" fontId="10" fillId="0" borderId="7" xfId="0" applyNumberFormat="1" applyFont="1" applyBorder="1" applyAlignment="1">
      <alignment horizontal="center" vertical="center" wrapText="1"/>
    </xf>
    <xf numFmtId="0" fontId="55" fillId="0" borderId="7" xfId="3" applyFont="1" applyBorder="1" applyAlignment="1" applyProtection="1">
      <alignment vertical="center" wrapText="1"/>
    </xf>
    <xf numFmtId="14" fontId="12" fillId="0" borderId="7" xfId="0" applyNumberFormat="1" applyFont="1" applyBorder="1" applyAlignment="1">
      <alignment vertical="center" wrapText="1"/>
    </xf>
    <xf numFmtId="14" fontId="10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4" fontId="10" fillId="0" borderId="7" xfId="0" applyNumberFormat="1" applyFont="1" applyBorder="1" applyAlignment="1">
      <alignment wrapText="1"/>
    </xf>
    <xf numFmtId="0" fontId="12" fillId="0" borderId="7" xfId="0" applyFont="1" applyBorder="1"/>
    <xf numFmtId="4" fontId="12" fillId="0" borderId="7" xfId="0" applyNumberFormat="1" applyFont="1" applyBorder="1" applyAlignment="1">
      <alignment vertical="center"/>
    </xf>
    <xf numFmtId="14" fontId="12" fillId="0" borderId="7" xfId="0" applyNumberFormat="1" applyFont="1" applyBorder="1" applyAlignment="1">
      <alignment horizontal="center" vertical="center"/>
    </xf>
    <xf numFmtId="4" fontId="12" fillId="0" borderId="7" xfId="0" applyNumberFormat="1" applyFont="1" applyBorder="1"/>
    <xf numFmtId="14" fontId="12" fillId="0" borderId="7" xfId="0" applyNumberFormat="1" applyFont="1" applyBorder="1"/>
    <xf numFmtId="0" fontId="12" fillId="0" borderId="7" xfId="0" applyFont="1" applyBorder="1" applyAlignment="1">
      <alignment horizontal="left"/>
    </xf>
    <xf numFmtId="0" fontId="30" fillId="0" borderId="7" xfId="0" applyFont="1" applyBorder="1" applyAlignment="1">
      <alignment horizontal="center" vertical="center"/>
    </xf>
    <xf numFmtId="15" fontId="10" fillId="0" borderId="7" xfId="0" quotePrefix="1" applyNumberFormat="1" applyFont="1" applyBorder="1" applyAlignment="1">
      <alignment horizontal="center" vertical="center" wrapText="1"/>
    </xf>
    <xf numFmtId="14" fontId="10" fillId="0" borderId="7" xfId="0" applyNumberFormat="1" applyFont="1" applyBorder="1" applyAlignment="1">
      <alignment wrapText="1"/>
    </xf>
    <xf numFmtId="14" fontId="10" fillId="0" borderId="7" xfId="0" quotePrefix="1" applyNumberFormat="1" applyFont="1" applyBorder="1" applyAlignment="1">
      <alignment horizontal="center" vertical="center"/>
    </xf>
    <xf numFmtId="4" fontId="10" fillId="0" borderId="43" xfId="0" applyNumberFormat="1" applyFont="1" applyBorder="1" applyAlignment="1">
      <alignment horizontal="right" wrapText="1"/>
    </xf>
    <xf numFmtId="0" fontId="10" fillId="20" borderId="46" xfId="0" applyFont="1" applyFill="1" applyBorder="1" applyAlignment="1">
      <alignment wrapText="1"/>
    </xf>
    <xf numFmtId="0" fontId="10" fillId="0" borderId="0" xfId="0" applyFont="1" applyAlignment="1"/>
    <xf numFmtId="0" fontId="10" fillId="0" borderId="43" xfId="0" applyFont="1" applyBorder="1" applyAlignment="1">
      <alignment vertical="center"/>
    </xf>
    <xf numFmtId="0" fontId="10" fillId="0" borderId="43" xfId="0" applyFont="1" applyBorder="1" applyAlignment="1">
      <alignment wrapText="1"/>
    </xf>
    <xf numFmtId="0" fontId="10" fillId="0" borderId="44" xfId="0" applyFont="1" applyBorder="1" applyAlignment="1">
      <alignment wrapText="1"/>
    </xf>
    <xf numFmtId="14" fontId="10" fillId="0" borderId="46" xfId="0" applyNumberFormat="1" applyFont="1" applyBorder="1" applyAlignment="1">
      <alignment horizontal="right" wrapText="1"/>
    </xf>
    <xf numFmtId="0" fontId="10" fillId="0" borderId="49" xfId="0" applyFont="1" applyBorder="1" applyAlignment="1">
      <alignment wrapText="1"/>
    </xf>
    <xf numFmtId="4" fontId="10" fillId="0" borderId="47" xfId="0" applyNumberFormat="1" applyFont="1" applyBorder="1" applyAlignment="1">
      <alignment horizontal="center" wrapText="1"/>
    </xf>
    <xf numFmtId="0" fontId="10" fillId="0" borderId="47" xfId="0" applyFont="1" applyBorder="1" applyAlignment="1">
      <alignment horizontal="center" wrapText="1"/>
    </xf>
    <xf numFmtId="0" fontId="10" fillId="0" borderId="48" xfId="0" applyFont="1" applyBorder="1" applyAlignment="1"/>
    <xf numFmtId="0" fontId="10" fillId="0" borderId="48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0" borderId="44" xfId="0" applyFont="1" applyBorder="1" applyAlignment="1">
      <alignment vertical="center" wrapText="1"/>
    </xf>
    <xf numFmtId="0" fontId="10" fillId="0" borderId="44" xfId="0" applyFont="1" applyBorder="1" applyAlignment="1"/>
    <xf numFmtId="0" fontId="10" fillId="0" borderId="45" xfId="0" applyFont="1" applyBorder="1" applyAlignment="1">
      <alignment wrapText="1"/>
    </xf>
    <xf numFmtId="0" fontId="10" fillId="0" borderId="6" xfId="0" applyFont="1" applyBorder="1" applyAlignment="1"/>
    <xf numFmtId="0" fontId="10" fillId="0" borderId="46" xfId="0" applyFont="1" applyBorder="1" applyAlignment="1">
      <alignment wrapText="1"/>
    </xf>
    <xf numFmtId="4" fontId="10" fillId="0" borderId="45" xfId="0" applyNumberFormat="1" applyFont="1" applyBorder="1" applyAlignment="1">
      <alignment horizontal="right" wrapText="1"/>
    </xf>
    <xf numFmtId="0" fontId="10" fillId="0" borderId="44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wrapText="1"/>
    </xf>
    <xf numFmtId="0" fontId="10" fillId="20" borderId="44" xfId="0" applyFont="1" applyFill="1" applyBorder="1" applyAlignment="1">
      <alignment wrapText="1"/>
    </xf>
    <xf numFmtId="0" fontId="10" fillId="20" borderId="45" xfId="0" applyFont="1" applyFill="1" applyBorder="1" applyAlignment="1">
      <alignment wrapText="1"/>
    </xf>
    <xf numFmtId="16" fontId="10" fillId="0" borderId="46" xfId="0" applyNumberFormat="1" applyFont="1" applyBorder="1" applyAlignment="1">
      <alignment horizontal="right" wrapText="1"/>
    </xf>
    <xf numFmtId="0" fontId="10" fillId="0" borderId="44" xfId="0" applyFont="1" applyBorder="1" applyAlignment="1">
      <alignment vertical="center"/>
    </xf>
    <xf numFmtId="4" fontId="10" fillId="0" borderId="45" xfId="0" applyNumberFormat="1" applyFont="1" applyBorder="1" applyAlignment="1">
      <alignment horizontal="center" wrapText="1"/>
    </xf>
    <xf numFmtId="0" fontId="10" fillId="0" borderId="55" xfId="0" applyFont="1" applyBorder="1" applyAlignment="1">
      <alignment wrapText="1"/>
    </xf>
    <xf numFmtId="0" fontId="10" fillId="0" borderId="47" xfId="0" applyFont="1" applyBorder="1" applyAlignment="1">
      <alignment wrapText="1"/>
    </xf>
    <xf numFmtId="0" fontId="10" fillId="0" borderId="49" xfId="0" applyFont="1" applyBorder="1" applyAlignment="1"/>
    <xf numFmtId="0" fontId="10" fillId="0" borderId="47" xfId="0" applyFont="1" applyBorder="1" applyAlignment="1"/>
    <xf numFmtId="0" fontId="10" fillId="4" borderId="3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/>
    </xf>
    <xf numFmtId="0" fontId="45" fillId="4" borderId="7" xfId="0" applyFont="1" applyFill="1" applyBorder="1" applyAlignment="1">
      <alignment horizontal="center" wrapText="1"/>
    </xf>
    <xf numFmtId="0" fontId="45" fillId="4" borderId="7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4" fillId="4" borderId="7" xfId="0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wrapText="1"/>
    </xf>
    <xf numFmtId="0" fontId="51" fillId="0" borderId="11" xfId="0" applyFont="1" applyBorder="1" applyAlignment="1">
      <alignment horizontal="center" wrapText="1"/>
    </xf>
    <xf numFmtId="0" fontId="51" fillId="0" borderId="8" xfId="0" applyFont="1" applyBorder="1" applyAlignment="1">
      <alignment horizontal="center" wrapText="1"/>
    </xf>
    <xf numFmtId="0" fontId="48" fillId="0" borderId="11" xfId="0" applyFont="1" applyBorder="1" applyAlignment="1">
      <alignment horizontal="center" wrapText="1"/>
    </xf>
    <xf numFmtId="0" fontId="48" fillId="0" borderId="8" xfId="0" applyFont="1" applyBorder="1" applyAlignment="1">
      <alignment horizontal="center" wrapText="1"/>
    </xf>
    <xf numFmtId="0" fontId="14" fillId="4" borderId="7" xfId="0" applyFont="1" applyFill="1" applyBorder="1" applyAlignment="1">
      <alignment horizontal="center" wrapText="1"/>
    </xf>
    <xf numFmtId="0" fontId="44" fillId="4" borderId="7" xfId="0" applyFont="1" applyFill="1" applyBorder="1" applyAlignment="1">
      <alignment horizontal="center" wrapText="1"/>
    </xf>
    <xf numFmtId="0" fontId="47" fillId="0" borderId="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left"/>
    </xf>
    <xf numFmtId="0" fontId="0" fillId="0" borderId="5" xfId="0" applyFont="1" applyBorder="1" applyAlignment="1"/>
    <xf numFmtId="0" fontId="5" fillId="0" borderId="5" xfId="0" applyFont="1" applyBorder="1"/>
    <xf numFmtId="0" fontId="7" fillId="0" borderId="31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42" fillId="0" borderId="11" xfId="0" applyFont="1" applyBorder="1" applyAlignment="1">
      <alignment horizontal="center" wrapText="1"/>
    </xf>
    <xf numFmtId="0" fontId="42" fillId="0" borderId="8" xfId="0" applyFont="1" applyBorder="1" applyAlignment="1">
      <alignment horizontal="center" wrapText="1"/>
    </xf>
    <xf numFmtId="0" fontId="43" fillId="0" borderId="11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4" fillId="4" borderId="11" xfId="0" applyFont="1" applyFill="1" applyBorder="1" applyAlignment="1">
      <alignment horizontal="center" wrapText="1"/>
    </xf>
    <xf numFmtId="0" fontId="44" fillId="4" borderId="8" xfId="0" applyFont="1" applyFill="1" applyBorder="1" applyAlignment="1">
      <alignment horizont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9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33" fillId="0" borderId="31" xfId="0" quotePrefix="1" applyFont="1" applyBorder="1" applyAlignment="1">
      <alignment horizontal="left" wrapText="1"/>
    </xf>
    <xf numFmtId="0" fontId="33" fillId="0" borderId="24" xfId="0" quotePrefix="1" applyFont="1" applyBorder="1" applyAlignment="1">
      <alignment horizontal="left" wrapText="1"/>
    </xf>
    <xf numFmtId="0" fontId="12" fillId="0" borderId="30" xfId="0" applyFont="1" applyBorder="1" applyAlignment="1">
      <alignment horizontal="center" wrapText="1"/>
    </xf>
    <xf numFmtId="0" fontId="33" fillId="0" borderId="5" xfId="0" quotePrefix="1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30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30" fillId="0" borderId="31" xfId="0" applyFont="1" applyBorder="1" applyAlignment="1">
      <alignment horizontal="center" wrapText="1"/>
    </xf>
    <xf numFmtId="0" fontId="12" fillId="0" borderId="31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0" borderId="33" xfId="0" applyFont="1" applyBorder="1"/>
    <xf numFmtId="0" fontId="6" fillId="0" borderId="31" xfId="0" quotePrefix="1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20" xfId="0" quotePrefix="1" applyFont="1" applyBorder="1" applyAlignment="1">
      <alignment horizontal="center"/>
    </xf>
    <xf numFmtId="0" fontId="6" fillId="0" borderId="30" xfId="0" quotePrefix="1" applyFont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5" fillId="0" borderId="28" xfId="0" applyFont="1" applyBorder="1"/>
    <xf numFmtId="0" fontId="4" fillId="3" borderId="11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4" fillId="0" borderId="31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33" fillId="0" borderId="31" xfId="0" applyFont="1" applyBorder="1" applyAlignment="1">
      <alignment horizontal="left" wrapText="1"/>
    </xf>
    <xf numFmtId="0" fontId="33" fillId="0" borderId="24" xfId="0" applyFont="1" applyBorder="1" applyAlignment="1">
      <alignment horizontal="left" wrapText="1"/>
    </xf>
    <xf numFmtId="0" fontId="34" fillId="0" borderId="31" xfId="0" applyFont="1" applyBorder="1" applyAlignment="1">
      <alignment horizontal="left" wrapText="1"/>
    </xf>
    <xf numFmtId="0" fontId="34" fillId="0" borderId="24" xfId="0" applyFont="1" applyBorder="1" applyAlignment="1">
      <alignment horizontal="left" wrapText="1"/>
    </xf>
    <xf numFmtId="0" fontId="30" fillId="0" borderId="31" xfId="0" quotePrefix="1" applyFont="1" applyBorder="1" applyAlignment="1">
      <alignment horizontal="left" wrapText="1"/>
    </xf>
    <xf numFmtId="0" fontId="30" fillId="0" borderId="24" xfId="0" applyFont="1" applyBorder="1" applyAlignment="1">
      <alignment horizontal="left" wrapText="1"/>
    </xf>
    <xf numFmtId="0" fontId="29" fillId="0" borderId="31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9" fillId="0" borderId="30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32" fillId="0" borderId="20" xfId="0" applyFont="1" applyBorder="1" applyAlignment="1">
      <alignment horizontal="center" wrapText="1"/>
    </xf>
    <xf numFmtId="0" fontId="32" fillId="0" borderId="26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1" fillId="0" borderId="30" xfId="0" applyFont="1" applyBorder="1" applyAlignment="1">
      <alignment horizontal="center"/>
    </xf>
    <xf numFmtId="43" fontId="45" fillId="4" borderId="7" xfId="1" applyFont="1" applyFill="1" applyBorder="1" applyAlignment="1">
      <alignment horizontal="center" vertical="center" wrapText="1"/>
    </xf>
    <xf numFmtId="0" fontId="44" fillId="4" borderId="7" xfId="0" applyFont="1" applyFill="1" applyBorder="1" applyAlignment="1">
      <alignment horizontal="center" vertical="center"/>
    </xf>
    <xf numFmtId="0" fontId="15" fillId="0" borderId="31" xfId="3" applyBorder="1" applyAlignment="1">
      <alignment horizontal="center" wrapText="1"/>
    </xf>
    <xf numFmtId="0" fontId="32" fillId="0" borderId="24" xfId="0" applyFont="1" applyBorder="1" applyAlignment="1">
      <alignment horizontal="center" wrapText="1"/>
    </xf>
    <xf numFmtId="0" fontId="5" fillId="0" borderId="29" xfId="0" applyFont="1" applyBorder="1"/>
    <xf numFmtId="0" fontId="5" fillId="0" borderId="8" xfId="0" applyFont="1" applyBorder="1"/>
    <xf numFmtId="0" fontId="4" fillId="3" borderId="20" xfId="0" applyFont="1" applyFill="1" applyBorder="1" applyAlignment="1">
      <alignment horizontal="center"/>
    </xf>
    <xf numFmtId="0" fontId="5" fillId="0" borderId="30" xfId="0" applyFont="1" applyBorder="1"/>
    <xf numFmtId="0" fontId="5" fillId="0" borderId="26" xfId="0" applyFont="1" applyBorder="1"/>
    <xf numFmtId="0" fontId="31" fillId="0" borderId="11" xfId="0" applyFont="1" applyBorder="1" applyAlignment="1">
      <alignment horizontal="center"/>
    </xf>
    <xf numFmtId="0" fontId="31" fillId="0" borderId="29" xfId="0" applyFont="1" applyBorder="1" applyAlignment="1">
      <alignment horizontal="center"/>
    </xf>
    <xf numFmtId="0" fontId="32" fillId="0" borderId="11" xfId="0" applyFont="1" applyBorder="1" applyAlignment="1">
      <alignment horizontal="center" wrapText="1"/>
    </xf>
    <xf numFmtId="0" fontId="32" fillId="0" borderId="8" xfId="0" applyFont="1" applyBorder="1" applyAlignment="1">
      <alignment horizont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29" xfId="0" applyFont="1" applyBorder="1" applyAlignment="1">
      <alignment horizontal="center" vertical="center" wrapText="1"/>
    </xf>
    <xf numFmtId="0" fontId="42" fillId="0" borderId="8" xfId="0" applyFont="1" applyBorder="1" applyAlignment="1">
      <alignment horizontal="center" vertical="center" wrapText="1"/>
    </xf>
    <xf numFmtId="0" fontId="4" fillId="18" borderId="11" xfId="0" applyFont="1" applyFill="1" applyBorder="1" applyAlignment="1">
      <alignment horizontal="center"/>
    </xf>
    <xf numFmtId="0" fontId="4" fillId="18" borderId="29" xfId="0" applyFont="1" applyFill="1" applyBorder="1" applyAlignment="1">
      <alignment horizontal="center"/>
    </xf>
    <xf numFmtId="0" fontId="4" fillId="18" borderId="8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50" fillId="4" borderId="11" xfId="0" applyFont="1" applyFill="1" applyBorder="1" applyAlignment="1">
      <alignment horizontal="center" vertical="center"/>
    </xf>
    <xf numFmtId="0" fontId="50" fillId="4" borderId="8" xfId="0" applyFont="1" applyFill="1" applyBorder="1" applyAlignment="1">
      <alignment horizontal="center" vertical="center"/>
    </xf>
    <xf numFmtId="0" fontId="12" fillId="0" borderId="31" xfId="0" quotePrefix="1" applyFont="1" applyBorder="1" applyAlignment="1">
      <alignment horizontal="left" wrapText="1"/>
    </xf>
    <xf numFmtId="0" fontId="12" fillId="0" borderId="24" xfId="0" quotePrefix="1" applyFont="1" applyBorder="1" applyAlignment="1">
      <alignment horizontal="left" wrapText="1"/>
    </xf>
    <xf numFmtId="0" fontId="12" fillId="0" borderId="31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4" fillId="3" borderId="30" xfId="0" applyFont="1" applyFill="1" applyBorder="1" applyAlignment="1">
      <alignment horizontal="center"/>
    </xf>
    <xf numFmtId="0" fontId="5" fillId="0" borderId="24" xfId="0" applyFont="1" applyBorder="1"/>
    <xf numFmtId="0" fontId="32" fillId="0" borderId="31" xfId="0" applyFont="1" applyBorder="1" applyAlignment="1">
      <alignment horizontal="center" wrapText="1"/>
    </xf>
    <xf numFmtId="0" fontId="36" fillId="0" borderId="20" xfId="3" applyFont="1" applyBorder="1" applyAlignment="1">
      <alignment horizontal="center" wrapText="1"/>
    </xf>
    <xf numFmtId="0" fontId="23" fillId="0" borderId="26" xfId="0" applyFont="1" applyBorder="1" applyAlignment="1">
      <alignment horizontal="center" wrapText="1"/>
    </xf>
    <xf numFmtId="0" fontId="36" fillId="0" borderId="31" xfId="3" applyFont="1" applyBorder="1" applyAlignment="1">
      <alignment horizontal="center" wrapText="1"/>
    </xf>
    <xf numFmtId="0" fontId="37" fillId="0" borderId="24" xfId="0" applyFont="1" applyBorder="1" applyAlignment="1">
      <alignment horizontal="center" wrapText="1"/>
    </xf>
    <xf numFmtId="0" fontId="37" fillId="0" borderId="31" xfId="0" applyFont="1" applyBorder="1" applyAlignment="1">
      <alignment horizontal="center" wrapText="1"/>
    </xf>
    <xf numFmtId="0" fontId="10" fillId="0" borderId="57" xfId="0" applyFont="1" applyBorder="1" applyAlignment="1">
      <alignment horizontal="center" wrapText="1"/>
    </xf>
    <xf numFmtId="0" fontId="10" fillId="0" borderId="51" xfId="0" applyFont="1" applyBorder="1" applyAlignment="1">
      <alignment horizontal="center" wrapText="1"/>
    </xf>
    <xf numFmtId="0" fontId="10" fillId="0" borderId="56" xfId="0" applyFont="1" applyBorder="1" applyAlignment="1">
      <alignment horizontal="center" wrapText="1"/>
    </xf>
    <xf numFmtId="0" fontId="10" fillId="0" borderId="47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21" borderId="58" xfId="0" applyFont="1" applyFill="1" applyBorder="1" applyAlignment="1">
      <alignment horizontal="center" wrapText="1"/>
    </xf>
    <xf numFmtId="0" fontId="10" fillId="21" borderId="59" xfId="0" applyFont="1" applyFill="1" applyBorder="1" applyAlignment="1">
      <alignment horizontal="center" wrapText="1"/>
    </xf>
    <xf numFmtId="0" fontId="10" fillId="21" borderId="60" xfId="0" applyFont="1" applyFill="1" applyBorder="1" applyAlignment="1">
      <alignment horizontal="center" wrapText="1"/>
    </xf>
    <xf numFmtId="0" fontId="56" fillId="22" borderId="61" xfId="0" applyFont="1" applyFill="1" applyBorder="1" applyAlignment="1">
      <alignment horizontal="center" wrapText="1"/>
    </xf>
    <xf numFmtId="0" fontId="56" fillId="22" borderId="62" xfId="0" applyFont="1" applyFill="1" applyBorder="1" applyAlignment="1">
      <alignment horizontal="center" wrapText="1"/>
    </xf>
    <xf numFmtId="0" fontId="10" fillId="20" borderId="47" xfId="0" applyFont="1" applyFill="1" applyBorder="1" applyAlignment="1">
      <alignment horizontal="center" wrapText="1"/>
    </xf>
    <xf numFmtId="0" fontId="10" fillId="20" borderId="48" xfId="0" applyFont="1" applyFill="1" applyBorder="1" applyAlignment="1">
      <alignment horizontal="center" wrapText="1"/>
    </xf>
    <xf numFmtId="0" fontId="10" fillId="20" borderId="6" xfId="0" applyFont="1" applyFill="1" applyBorder="1" applyAlignment="1">
      <alignment horizontal="center" wrapText="1"/>
    </xf>
    <xf numFmtId="0" fontId="10" fillId="0" borderId="49" xfId="0" applyFont="1" applyBorder="1" applyAlignment="1">
      <alignment horizontal="center" wrapText="1"/>
    </xf>
    <xf numFmtId="0" fontId="10" fillId="0" borderId="48" xfId="0" applyFont="1" applyBorder="1" applyAlignment="1">
      <alignment horizontal="center" wrapText="1"/>
    </xf>
    <xf numFmtId="4" fontId="10" fillId="0" borderId="47" xfId="0" applyNumberFormat="1" applyFont="1" applyBorder="1" applyAlignment="1">
      <alignment horizontal="center" wrapText="1"/>
    </xf>
    <xf numFmtId="4" fontId="10" fillId="0" borderId="6" xfId="0" applyNumberFormat="1" applyFont="1" applyBorder="1" applyAlignment="1">
      <alignment horizontal="center" wrapText="1"/>
    </xf>
    <xf numFmtId="0" fontId="10" fillId="0" borderId="47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0" borderId="53" xfId="0" applyFont="1" applyBorder="1" applyAlignment="1">
      <alignment wrapText="1"/>
    </xf>
    <xf numFmtId="0" fontId="10" fillId="0" borderId="51" xfId="0" applyFont="1" applyBorder="1" applyAlignment="1">
      <alignment wrapText="1"/>
    </xf>
    <xf numFmtId="0" fontId="10" fillId="0" borderId="56" xfId="0" applyFont="1" applyBorder="1" applyAlignment="1">
      <alignment wrapText="1"/>
    </xf>
    <xf numFmtId="0" fontId="10" fillId="0" borderId="61" xfId="0" applyFont="1" applyBorder="1" applyAlignment="1">
      <alignment wrapText="1"/>
    </xf>
    <xf numFmtId="0" fontId="10" fillId="0" borderId="59" xfId="0" applyFont="1" applyBorder="1" applyAlignment="1">
      <alignment wrapText="1"/>
    </xf>
    <xf numFmtId="0" fontId="10" fillId="0" borderId="63" xfId="0" applyFont="1" applyBorder="1" applyAlignment="1">
      <alignment wrapText="1"/>
    </xf>
    <xf numFmtId="0" fontId="10" fillId="0" borderId="57" xfId="0" applyFont="1" applyBorder="1" applyAlignment="1">
      <alignment wrapText="1"/>
    </xf>
    <xf numFmtId="0" fontId="10" fillId="0" borderId="52" xfId="0" applyFont="1" applyBorder="1" applyAlignment="1">
      <alignment wrapText="1"/>
    </xf>
    <xf numFmtId="0" fontId="10" fillId="0" borderId="64" xfId="0" applyFont="1" applyBorder="1" applyAlignment="1">
      <alignment wrapText="1"/>
    </xf>
    <xf numFmtId="0" fontId="10" fillId="0" borderId="65" xfId="0" applyFont="1" applyBorder="1" applyAlignment="1">
      <alignment wrapText="1"/>
    </xf>
    <xf numFmtId="0" fontId="10" fillId="0" borderId="49" xfId="0" applyFont="1" applyBorder="1" applyAlignment="1">
      <alignment wrapText="1"/>
    </xf>
    <xf numFmtId="0" fontId="10" fillId="0" borderId="48" xfId="0" applyFont="1" applyBorder="1" applyAlignment="1">
      <alignment wrapText="1"/>
    </xf>
    <xf numFmtId="0" fontId="10" fillId="21" borderId="50" xfId="0" applyFont="1" applyFill="1" applyBorder="1" applyAlignment="1">
      <alignment horizontal="center" wrapText="1"/>
    </xf>
    <xf numFmtId="0" fontId="10" fillId="21" borderId="51" xfId="0" applyFont="1" applyFill="1" applyBorder="1" applyAlignment="1">
      <alignment horizontal="center" wrapText="1"/>
    </xf>
    <xf numFmtId="0" fontId="10" fillId="21" borderId="52" xfId="0" applyFont="1" applyFill="1" applyBorder="1" applyAlignment="1">
      <alignment horizontal="center" wrapText="1"/>
    </xf>
    <xf numFmtId="0" fontId="56" fillId="22" borderId="53" xfId="0" applyFont="1" applyFill="1" applyBorder="1" applyAlignment="1">
      <alignment horizontal="center" wrapText="1"/>
    </xf>
    <xf numFmtId="0" fontId="56" fillId="22" borderId="54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urchasing.jcrcc@gmail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emcuerpo.purchasingdept@gmail.com" TargetMode="External"/><Relationship Id="rId1" Type="http://schemas.openxmlformats.org/officeDocument/2006/relationships/hyperlink" Target="mailto:andreafayebelen@gmail.com%20/%20%20%20%20%20%20%20%20%20%20%20%20%20%20%20%20Andrea%20Faye%20T.%20Belen%20Engineer%20IIIMGB%20-%20Metallurgical%20Technology%20Division%20/09661762164" TargetMode="External"/><Relationship Id="rId6" Type="http://schemas.openxmlformats.org/officeDocument/2006/relationships/hyperlink" Target="mailto:bernie.gamba@marcventures.com.ph" TargetMode="External"/><Relationship Id="rId5" Type="http://schemas.openxmlformats.org/officeDocument/2006/relationships/hyperlink" Target="mailto:info@pmdc.com.ph" TargetMode="External"/><Relationship Id="rId4" Type="http://schemas.openxmlformats.org/officeDocument/2006/relationships/hyperlink" Target="mailto:coors2207@yahoo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09650855636/Charmainewi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63"/>
  <sheetViews>
    <sheetView tabSelected="1" zoomScaleNormal="100" workbookViewId="0">
      <pane ySplit="1" topLeftCell="A2" activePane="bottomLeft" state="frozen"/>
      <selection pane="bottomLeft" activeCell="K2" sqref="K2"/>
    </sheetView>
  </sheetViews>
  <sheetFormatPr defaultColWidth="14.42578125" defaultRowHeight="24.75" customHeight="1"/>
  <cols>
    <col min="1" max="1" width="9.140625" style="116" customWidth="1"/>
    <col min="2" max="2" width="7.7109375" style="217" customWidth="1"/>
    <col min="3" max="3" width="27.7109375" style="141" customWidth="1"/>
    <col min="4" max="4" width="8.42578125" style="116" customWidth="1"/>
    <col min="5" max="5" width="14" style="116" customWidth="1"/>
    <col min="6" max="6" width="11.5703125" style="221" customWidth="1"/>
    <col min="7" max="7" width="18.85546875" style="116" customWidth="1"/>
    <col min="8" max="8" width="13.28515625" style="116" customWidth="1"/>
    <col min="9" max="9" width="14.7109375" style="135" customWidth="1"/>
    <col min="10" max="11" width="19.85546875" style="116" customWidth="1"/>
    <col min="12" max="12" width="16" style="116" customWidth="1"/>
    <col min="13" max="13" width="16.85546875" style="116" customWidth="1"/>
    <col min="14" max="14" width="22.42578125" style="116" customWidth="1"/>
    <col min="15" max="23" width="13.28515625" style="116" customWidth="1"/>
    <col min="24" max="24" width="19" style="116" customWidth="1"/>
    <col min="25" max="25" width="16.7109375" style="116" customWidth="1"/>
    <col min="26" max="26" width="11.42578125" style="116" customWidth="1"/>
    <col min="27" max="28" width="9.140625" style="116" customWidth="1"/>
    <col min="29" max="16384" width="14.42578125" style="116"/>
  </cols>
  <sheetData>
    <row r="1" spans="1:31" ht="36" customHeight="1" thickBot="1">
      <c r="A1" s="4" t="s">
        <v>3</v>
      </c>
      <c r="B1" s="4" t="s">
        <v>21</v>
      </c>
      <c r="C1" s="108" t="s">
        <v>4</v>
      </c>
      <c r="D1" s="4" t="s">
        <v>5</v>
      </c>
      <c r="E1" s="4" t="s">
        <v>6</v>
      </c>
      <c r="F1" s="145" t="s">
        <v>7</v>
      </c>
      <c r="G1" s="4" t="s">
        <v>72</v>
      </c>
      <c r="H1" s="4" t="s">
        <v>90</v>
      </c>
      <c r="I1" s="4" t="s">
        <v>8</v>
      </c>
      <c r="J1" s="4" t="s">
        <v>326</v>
      </c>
      <c r="K1" s="4" t="s">
        <v>776</v>
      </c>
      <c r="L1" s="13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5" t="s">
        <v>14</v>
      </c>
      <c r="R1" s="5" t="s">
        <v>15</v>
      </c>
      <c r="S1" s="4" t="s">
        <v>16</v>
      </c>
      <c r="T1" s="5" t="s">
        <v>17</v>
      </c>
      <c r="U1" s="5" t="s">
        <v>0</v>
      </c>
      <c r="V1" s="4" t="s">
        <v>13</v>
      </c>
      <c r="W1" s="4" t="s">
        <v>7</v>
      </c>
      <c r="X1" s="4" t="s">
        <v>18</v>
      </c>
      <c r="Y1" s="4" t="s">
        <v>19</v>
      </c>
      <c r="Z1" s="4" t="s">
        <v>20</v>
      </c>
    </row>
    <row r="2" spans="1:31" s="118" customFormat="1" ht="24.75" customHeight="1" thickBot="1">
      <c r="A2" s="6">
        <v>46029</v>
      </c>
      <c r="B2" s="6" t="s">
        <v>75</v>
      </c>
      <c r="C2" s="93" t="s">
        <v>22</v>
      </c>
      <c r="D2" s="117" t="s">
        <v>23</v>
      </c>
      <c r="E2" s="4" t="s">
        <v>24</v>
      </c>
      <c r="F2" s="146">
        <v>2600</v>
      </c>
      <c r="G2" s="7"/>
      <c r="H2" s="4"/>
      <c r="I2" s="109"/>
      <c r="J2" s="109" t="s">
        <v>25</v>
      </c>
      <c r="K2" s="583"/>
      <c r="M2" s="109" t="s">
        <v>26</v>
      </c>
      <c r="N2" s="7"/>
      <c r="O2" s="7"/>
      <c r="P2" s="7"/>
      <c r="Q2" s="7"/>
      <c r="R2" s="7"/>
      <c r="T2" s="7"/>
      <c r="U2" s="7"/>
      <c r="V2" s="7"/>
      <c r="W2" s="7"/>
      <c r="X2" s="7"/>
      <c r="Y2" s="7"/>
    </row>
    <row r="3" spans="1:31" s="118" customFormat="1" ht="24.75" customHeight="1" thickBot="1">
      <c r="A3" s="9">
        <v>46049</v>
      </c>
      <c r="B3" s="9" t="s">
        <v>75</v>
      </c>
      <c r="C3" s="119" t="s">
        <v>28</v>
      </c>
      <c r="D3" s="120" t="s">
        <v>23</v>
      </c>
      <c r="E3" s="10" t="s">
        <v>24</v>
      </c>
      <c r="F3" s="147">
        <v>122300</v>
      </c>
      <c r="G3" s="11" t="s">
        <v>29</v>
      </c>
      <c r="H3" s="11"/>
      <c r="I3" s="10" t="s">
        <v>30</v>
      </c>
      <c r="J3" s="10" t="s">
        <v>31</v>
      </c>
      <c r="K3" s="10"/>
      <c r="L3" s="12" t="s">
        <v>32</v>
      </c>
      <c r="M3" s="121" t="s">
        <v>33</v>
      </c>
      <c r="N3" s="121" t="s">
        <v>34</v>
      </c>
      <c r="O3" s="12" t="s">
        <v>35</v>
      </c>
      <c r="P3" s="12" t="s">
        <v>36</v>
      </c>
      <c r="Q3" s="12"/>
      <c r="R3" s="12"/>
      <c r="T3" s="13" t="s">
        <v>27</v>
      </c>
      <c r="U3" s="12"/>
      <c r="V3" s="12"/>
      <c r="W3" s="12"/>
      <c r="X3" s="12"/>
      <c r="Y3" s="12"/>
      <c r="AE3" s="158">
        <f>F2+F3+F5+F6+F7+F8+F9+F10+F11+F12+F13+F14+F15</f>
        <v>7028400</v>
      </c>
    </row>
    <row r="4" spans="1:31" s="118" customFormat="1" ht="24.75" customHeight="1" thickBot="1">
      <c r="A4" s="9">
        <v>46042</v>
      </c>
      <c r="B4" s="6" t="s">
        <v>75</v>
      </c>
      <c r="C4" s="108" t="s">
        <v>37</v>
      </c>
      <c r="D4" s="117" t="s">
        <v>23</v>
      </c>
      <c r="E4" s="4" t="s">
        <v>38</v>
      </c>
      <c r="F4" s="148">
        <v>4500</v>
      </c>
      <c r="G4" s="13" t="s">
        <v>39</v>
      </c>
      <c r="H4" s="13"/>
      <c r="I4" s="4"/>
      <c r="J4" s="4" t="s">
        <v>40</v>
      </c>
      <c r="K4" s="4"/>
      <c r="L4" s="7"/>
      <c r="M4" s="109" t="s">
        <v>41</v>
      </c>
      <c r="N4" s="122" t="s">
        <v>42</v>
      </c>
      <c r="O4" s="7" t="s">
        <v>43</v>
      </c>
      <c r="P4" s="7"/>
      <c r="Q4" s="7"/>
      <c r="R4" s="7"/>
      <c r="T4" s="11" t="s">
        <v>27</v>
      </c>
      <c r="U4" s="7"/>
      <c r="V4" s="7"/>
      <c r="W4" s="7"/>
      <c r="X4" s="7"/>
      <c r="Y4" s="7"/>
      <c r="Z4" s="431"/>
      <c r="AA4" s="432"/>
    </row>
    <row r="5" spans="1:31" s="118" customFormat="1" ht="24.75" customHeight="1" thickBot="1">
      <c r="A5" s="6">
        <v>46037</v>
      </c>
      <c r="B5" s="6" t="s">
        <v>75</v>
      </c>
      <c r="C5" s="108" t="s">
        <v>44</v>
      </c>
      <c r="D5" s="117" t="s">
        <v>23</v>
      </c>
      <c r="E5" s="4" t="s">
        <v>38</v>
      </c>
      <c r="F5" s="146">
        <v>4000</v>
      </c>
      <c r="G5" s="13">
        <v>3569</v>
      </c>
      <c r="H5" s="13"/>
      <c r="I5" s="4"/>
      <c r="J5" s="4" t="s">
        <v>45</v>
      </c>
      <c r="K5" s="17"/>
      <c r="L5" s="16" t="s">
        <v>46</v>
      </c>
      <c r="M5" s="115" t="s">
        <v>47</v>
      </c>
      <c r="N5" s="109"/>
      <c r="O5" s="7"/>
      <c r="P5" s="7"/>
      <c r="Q5" s="7"/>
      <c r="R5" s="7"/>
      <c r="T5" s="13"/>
      <c r="U5" s="7"/>
      <c r="V5" s="7"/>
      <c r="W5" s="7"/>
      <c r="X5" s="7"/>
      <c r="Y5" s="7"/>
      <c r="Z5" s="123"/>
      <c r="AA5" s="124"/>
    </row>
    <row r="6" spans="1:31" s="118" customFormat="1" ht="24.75" customHeight="1" thickTop="1" thickBot="1">
      <c r="A6" s="6">
        <v>46034</v>
      </c>
      <c r="B6" s="6" t="s">
        <v>75</v>
      </c>
      <c r="C6" s="108" t="s">
        <v>48</v>
      </c>
      <c r="D6" s="117" t="s">
        <v>23</v>
      </c>
      <c r="E6" s="4" t="s">
        <v>38</v>
      </c>
      <c r="F6" s="146">
        <v>44000</v>
      </c>
      <c r="G6" s="13">
        <v>1922.1</v>
      </c>
      <c r="H6" s="13"/>
      <c r="I6" s="109"/>
      <c r="J6" s="223" t="s">
        <v>49</v>
      </c>
      <c r="K6" s="583"/>
      <c r="L6" s="232"/>
      <c r="M6" s="233" t="s">
        <v>26</v>
      </c>
      <c r="N6" s="178"/>
      <c r="O6" s="7"/>
      <c r="P6" s="7"/>
      <c r="Q6" s="7"/>
      <c r="R6" s="7"/>
      <c r="T6" s="13" t="s">
        <v>27</v>
      </c>
      <c r="U6" s="7"/>
      <c r="V6" s="7"/>
      <c r="W6" s="7"/>
      <c r="X6" s="7"/>
      <c r="Y6" s="7"/>
      <c r="Z6" s="125"/>
      <c r="AA6" s="124"/>
    </row>
    <row r="7" spans="1:31" s="118" customFormat="1" ht="24.75" customHeight="1" thickTop="1" thickBot="1">
      <c r="A7" s="9">
        <v>46028</v>
      </c>
      <c r="B7" s="9" t="s">
        <v>75</v>
      </c>
      <c r="C7" s="126" t="s">
        <v>50</v>
      </c>
      <c r="D7" s="127" t="s">
        <v>51</v>
      </c>
      <c r="E7" s="10" t="s">
        <v>24</v>
      </c>
      <c r="F7" s="149">
        <v>106000</v>
      </c>
      <c r="G7" s="10" t="s">
        <v>52</v>
      </c>
      <c r="H7" s="10"/>
      <c r="I7" s="10"/>
      <c r="J7" s="224" t="s">
        <v>53</v>
      </c>
      <c r="K7" s="583"/>
      <c r="L7" s="232"/>
      <c r="M7" s="233"/>
      <c r="N7" s="227"/>
      <c r="O7" s="11"/>
      <c r="P7" s="10"/>
      <c r="Q7" s="10"/>
      <c r="R7" s="10"/>
      <c r="T7" s="128"/>
      <c r="U7" s="12"/>
      <c r="V7" s="12"/>
      <c r="W7" s="12"/>
      <c r="X7" s="12"/>
      <c r="Y7" s="12"/>
    </row>
    <row r="8" spans="1:31" s="118" customFormat="1" ht="24.75" customHeight="1" thickTop="1" thickBot="1">
      <c r="A8" s="6">
        <v>46034</v>
      </c>
      <c r="B8" s="6" t="s">
        <v>75</v>
      </c>
      <c r="C8" s="108" t="s">
        <v>73</v>
      </c>
      <c r="D8" s="129" t="s">
        <v>51</v>
      </c>
      <c r="E8" s="4" t="s">
        <v>24</v>
      </c>
      <c r="F8" s="146">
        <v>1120200</v>
      </c>
      <c r="G8" s="13" t="s">
        <v>55</v>
      </c>
      <c r="H8" s="13"/>
      <c r="I8" s="4"/>
      <c r="J8" s="225" t="s">
        <v>56</v>
      </c>
      <c r="K8" s="584"/>
      <c r="L8" s="232"/>
      <c r="M8" s="24" t="s">
        <v>57</v>
      </c>
      <c r="N8" s="228"/>
      <c r="O8" s="13"/>
      <c r="P8" s="13"/>
      <c r="Q8" s="13"/>
      <c r="R8" s="13"/>
      <c r="T8" s="10" t="s">
        <v>54</v>
      </c>
      <c r="U8" s="13"/>
      <c r="V8" s="13"/>
      <c r="W8" s="6">
        <v>46374</v>
      </c>
      <c r="X8" s="13" t="s">
        <v>58</v>
      </c>
      <c r="Y8" s="13" t="s">
        <v>59</v>
      </c>
    </row>
    <row r="9" spans="1:31" s="118" customFormat="1" ht="24.75" customHeight="1" thickTop="1" thickBot="1">
      <c r="A9" s="6">
        <v>46028</v>
      </c>
      <c r="B9" s="6" t="s">
        <v>75</v>
      </c>
      <c r="C9" s="108" t="s">
        <v>74</v>
      </c>
      <c r="D9" s="129" t="s">
        <v>51</v>
      </c>
      <c r="E9" s="4" t="s">
        <v>24</v>
      </c>
      <c r="F9" s="146">
        <v>1280100</v>
      </c>
      <c r="G9" s="13" t="s">
        <v>60</v>
      </c>
      <c r="H9" s="13"/>
      <c r="I9" s="109"/>
      <c r="J9" s="225" t="s">
        <v>56</v>
      </c>
      <c r="K9" s="584"/>
      <c r="L9" s="232"/>
      <c r="M9" s="24" t="s">
        <v>61</v>
      </c>
      <c r="N9" s="178"/>
      <c r="O9" s="7"/>
      <c r="P9" s="7"/>
      <c r="Q9" s="7"/>
      <c r="R9" s="7"/>
      <c r="T9" s="4" t="s">
        <v>54</v>
      </c>
      <c r="U9" s="7"/>
      <c r="V9" s="7"/>
      <c r="W9" s="7"/>
      <c r="X9" s="7"/>
      <c r="Y9" s="7"/>
    </row>
    <row r="10" spans="1:31" s="118" customFormat="1" ht="24.75" customHeight="1" thickTop="1" thickBot="1">
      <c r="A10" s="6">
        <v>46036</v>
      </c>
      <c r="B10" s="6" t="s">
        <v>75</v>
      </c>
      <c r="C10" s="130" t="s">
        <v>63</v>
      </c>
      <c r="D10" s="129" t="s">
        <v>51</v>
      </c>
      <c r="E10" s="4" t="s">
        <v>24</v>
      </c>
      <c r="F10" s="146">
        <v>1980500</v>
      </c>
      <c r="G10" s="13" t="s">
        <v>64</v>
      </c>
      <c r="H10" s="7"/>
      <c r="I10" s="109" t="s">
        <v>65</v>
      </c>
      <c r="J10" s="225" t="s">
        <v>66</v>
      </c>
      <c r="K10" s="584"/>
      <c r="L10" s="232"/>
      <c r="M10" s="234"/>
      <c r="N10" s="178"/>
      <c r="O10" s="7"/>
      <c r="P10" s="7"/>
      <c r="Q10" s="7"/>
      <c r="R10" s="7"/>
      <c r="T10" s="4" t="s">
        <v>62</v>
      </c>
      <c r="U10" s="7"/>
      <c r="V10" s="7"/>
      <c r="W10" s="7"/>
      <c r="X10" s="7"/>
      <c r="Y10" s="7"/>
    </row>
    <row r="11" spans="1:31" s="118" customFormat="1" ht="24.75" customHeight="1" thickTop="1" thickBot="1">
      <c r="A11" s="14">
        <v>46028</v>
      </c>
      <c r="B11" s="14" t="s">
        <v>75</v>
      </c>
      <c r="C11" s="114" t="s">
        <v>67</v>
      </c>
      <c r="D11" s="131" t="s">
        <v>51</v>
      </c>
      <c r="E11" s="17" t="s">
        <v>24</v>
      </c>
      <c r="F11" s="150">
        <v>1427900</v>
      </c>
      <c r="G11" s="15" t="s">
        <v>68</v>
      </c>
      <c r="H11" s="15"/>
      <c r="I11" s="17" t="s">
        <v>69</v>
      </c>
      <c r="J11" s="226" t="s">
        <v>70</v>
      </c>
      <c r="K11" s="584"/>
      <c r="L11" s="232"/>
      <c r="M11" s="24" t="s">
        <v>71</v>
      </c>
      <c r="N11" s="229"/>
      <c r="O11" s="16"/>
      <c r="P11" s="16"/>
      <c r="Q11" s="16"/>
      <c r="R11" s="16"/>
      <c r="T11" s="4"/>
      <c r="U11" s="16"/>
      <c r="V11" s="16"/>
      <c r="W11" s="16"/>
      <c r="X11" s="16"/>
      <c r="Y11" s="16"/>
    </row>
    <row r="12" spans="1:31" s="118" customFormat="1" ht="24.75" customHeight="1" thickTop="1" thickBot="1">
      <c r="A12" s="6">
        <v>46065</v>
      </c>
      <c r="B12" s="14" t="s">
        <v>75</v>
      </c>
      <c r="C12" s="108" t="s">
        <v>76</v>
      </c>
      <c r="D12" s="4" t="s">
        <v>23</v>
      </c>
      <c r="E12" s="4" t="s">
        <v>24</v>
      </c>
      <c r="F12" s="151">
        <v>280000</v>
      </c>
      <c r="G12" s="4" t="s">
        <v>77</v>
      </c>
      <c r="H12" s="4"/>
      <c r="I12" s="4"/>
      <c r="J12" s="225" t="s">
        <v>56</v>
      </c>
      <c r="K12" s="584"/>
      <c r="L12" s="235" t="s">
        <v>78</v>
      </c>
      <c r="M12" s="232"/>
      <c r="N12" s="128"/>
      <c r="O12" s="4"/>
      <c r="P12" s="5"/>
      <c r="Q12" s="5"/>
      <c r="R12" s="4"/>
      <c r="S12" s="4"/>
      <c r="T12" s="4"/>
      <c r="U12" s="116"/>
      <c r="V12" s="116"/>
      <c r="W12" s="116"/>
      <c r="X12" s="116"/>
      <c r="Y12" s="116"/>
    </row>
    <row r="13" spans="1:31" s="118" customFormat="1" ht="24.75" customHeight="1" thickBot="1">
      <c r="A13" s="14">
        <v>46071</v>
      </c>
      <c r="B13" s="14" t="s">
        <v>75</v>
      </c>
      <c r="C13" s="132" t="s">
        <v>83</v>
      </c>
      <c r="D13" s="17" t="s">
        <v>23</v>
      </c>
      <c r="E13" s="17" t="s">
        <v>24</v>
      </c>
      <c r="F13" s="218">
        <v>140000</v>
      </c>
      <c r="G13" s="16" t="s">
        <v>84</v>
      </c>
      <c r="H13" s="16"/>
      <c r="I13" s="115" t="s">
        <v>30</v>
      </c>
      <c r="J13" s="16" t="s">
        <v>85</v>
      </c>
      <c r="K13" s="230"/>
      <c r="L13" s="230" t="s">
        <v>86</v>
      </c>
      <c r="M13" s="231" t="s">
        <v>26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28"/>
    </row>
    <row r="14" spans="1:31" s="118" customFormat="1" ht="24.75" customHeight="1" thickBot="1">
      <c r="A14" s="6">
        <v>46071</v>
      </c>
      <c r="B14" s="6" t="s">
        <v>75</v>
      </c>
      <c r="C14" s="130" t="s">
        <v>83</v>
      </c>
      <c r="D14" s="4" t="s">
        <v>23</v>
      </c>
      <c r="E14" s="4" t="s">
        <v>38</v>
      </c>
      <c r="F14" s="219">
        <v>79800</v>
      </c>
      <c r="G14" s="7" t="s">
        <v>84</v>
      </c>
      <c r="H14" s="7"/>
      <c r="I14" s="109"/>
      <c r="J14" s="7" t="s">
        <v>89</v>
      </c>
      <c r="K14" s="7"/>
      <c r="L14" s="7" t="s">
        <v>86</v>
      </c>
      <c r="M14" s="109" t="s">
        <v>87</v>
      </c>
      <c r="N14" s="109" t="s">
        <v>88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133"/>
    </row>
    <row r="15" spans="1:31" s="118" customFormat="1" ht="24.75" customHeight="1" thickBot="1">
      <c r="A15" s="6">
        <v>46073</v>
      </c>
      <c r="B15" s="6" t="s">
        <v>75</v>
      </c>
      <c r="C15" s="108" t="s">
        <v>48</v>
      </c>
      <c r="D15" s="4" t="s">
        <v>23</v>
      </c>
      <c r="E15" s="4" t="s">
        <v>38</v>
      </c>
      <c r="F15" s="146">
        <v>441000</v>
      </c>
      <c r="G15" s="13" t="s">
        <v>82</v>
      </c>
      <c r="H15" s="13"/>
      <c r="I15" s="109"/>
      <c r="J15" s="109" t="s">
        <v>49</v>
      </c>
      <c r="K15" s="109"/>
      <c r="L15" s="133"/>
      <c r="M15" s="109" t="s">
        <v>79</v>
      </c>
      <c r="N15" s="18" t="s">
        <v>80</v>
      </c>
      <c r="O15" s="13" t="s">
        <v>81</v>
      </c>
      <c r="P15" s="7"/>
      <c r="Q15" s="7"/>
      <c r="R15" s="7"/>
      <c r="S15" s="13" t="s">
        <v>27</v>
      </c>
      <c r="T15" s="7"/>
      <c r="U15" s="7"/>
      <c r="V15" s="7"/>
      <c r="W15" s="7"/>
      <c r="X15" s="7"/>
      <c r="Y15" s="7"/>
      <c r="Z15" s="133"/>
    </row>
    <row r="16" spans="1:31" s="118" customFormat="1" ht="24.75" customHeight="1" thickBot="1">
      <c r="A16" s="14">
        <v>46072</v>
      </c>
      <c r="B16" s="14" t="s">
        <v>75</v>
      </c>
      <c r="C16" s="114" t="s">
        <v>560</v>
      </c>
      <c r="D16" s="17" t="s">
        <v>23</v>
      </c>
      <c r="E16" s="17" t="s">
        <v>24</v>
      </c>
      <c r="F16" s="218">
        <v>8500</v>
      </c>
      <c r="G16" s="331" t="s">
        <v>561</v>
      </c>
      <c r="H16" s="13"/>
      <c r="I16" s="109"/>
      <c r="J16" s="109"/>
      <c r="K16" s="109"/>
      <c r="L16" s="133"/>
      <c r="M16" s="109"/>
      <c r="N16" s="18"/>
      <c r="O16" s="13"/>
      <c r="P16" s="7"/>
      <c r="Q16" s="7"/>
      <c r="R16" s="7"/>
      <c r="S16" s="13"/>
      <c r="T16" s="7"/>
      <c r="U16" s="7"/>
      <c r="V16" s="7"/>
      <c r="W16" s="7"/>
      <c r="X16" s="7"/>
      <c r="Y16" s="7"/>
      <c r="Z16" s="133"/>
    </row>
    <row r="17" spans="1:29" s="118" customFormat="1" ht="24.75" customHeight="1" thickBot="1">
      <c r="A17" s="14">
        <v>46092</v>
      </c>
      <c r="B17" s="14" t="s">
        <v>75</v>
      </c>
      <c r="C17" s="114" t="s">
        <v>565</v>
      </c>
      <c r="D17" s="17" t="s">
        <v>23</v>
      </c>
      <c r="E17" s="17" t="s">
        <v>24</v>
      </c>
      <c r="F17" s="218">
        <v>1575000</v>
      </c>
      <c r="G17" s="331" t="s">
        <v>566</v>
      </c>
      <c r="H17" s="13"/>
      <c r="I17" s="109"/>
      <c r="J17" s="109" t="s">
        <v>567</v>
      </c>
      <c r="K17" s="109"/>
      <c r="L17" s="133"/>
      <c r="M17" s="109"/>
      <c r="N17" s="18"/>
      <c r="O17" s="13"/>
      <c r="P17" s="7"/>
      <c r="Q17" s="7"/>
      <c r="R17" s="7"/>
      <c r="S17" s="13"/>
      <c r="T17" s="7"/>
      <c r="U17" s="7"/>
      <c r="V17" s="7"/>
      <c r="W17" s="7"/>
      <c r="X17" s="7"/>
      <c r="Y17" s="7"/>
      <c r="Z17" s="133"/>
    </row>
    <row r="18" spans="1:29" ht="24.75" customHeight="1" thickBot="1">
      <c r="A18" s="6">
        <v>46038</v>
      </c>
      <c r="B18" s="13" t="s">
        <v>253</v>
      </c>
      <c r="C18" s="108" t="s">
        <v>249</v>
      </c>
      <c r="D18" s="129" t="s">
        <v>51</v>
      </c>
      <c r="E18" s="4" t="s">
        <v>24</v>
      </c>
      <c r="F18" s="146">
        <v>131000</v>
      </c>
      <c r="G18" s="109" t="s">
        <v>250</v>
      </c>
      <c r="H18" s="7"/>
      <c r="I18" s="7"/>
      <c r="J18" s="7"/>
      <c r="K18" s="7"/>
      <c r="L18" s="4"/>
      <c r="M18" s="4"/>
      <c r="N18" s="4"/>
      <c r="O18" s="4"/>
      <c r="P18" s="4"/>
      <c r="Q18" s="4"/>
      <c r="R18" s="4"/>
      <c r="S18" s="4"/>
      <c r="T18" s="109"/>
      <c r="U18" s="109"/>
      <c r="V18" s="109"/>
      <c r="W18" s="7"/>
      <c r="X18" s="134"/>
      <c r="Y18" s="7"/>
      <c r="Z18" s="7"/>
    </row>
    <row r="19" spans="1:29" ht="24.75" customHeight="1" thickBot="1">
      <c r="A19" s="6">
        <v>46042</v>
      </c>
      <c r="B19" s="13" t="s">
        <v>253</v>
      </c>
      <c r="C19" s="108" t="s">
        <v>251</v>
      </c>
      <c r="D19" s="129" t="s">
        <v>51</v>
      </c>
      <c r="E19" s="4" t="s">
        <v>24</v>
      </c>
      <c r="F19" s="146">
        <v>784000</v>
      </c>
      <c r="G19" s="109" t="s">
        <v>252</v>
      </c>
      <c r="H19" s="7"/>
      <c r="I19" s="7"/>
      <c r="J19" s="7"/>
      <c r="K19" s="7"/>
      <c r="L19" s="4"/>
      <c r="M19" s="4"/>
      <c r="N19" s="4"/>
      <c r="O19" s="4"/>
      <c r="P19" s="4"/>
      <c r="Q19" s="4"/>
      <c r="R19" s="4"/>
      <c r="S19" s="4"/>
      <c r="T19" s="109"/>
      <c r="U19" s="109"/>
      <c r="V19" s="109"/>
      <c r="W19" s="7"/>
      <c r="X19" s="134"/>
      <c r="Y19" s="7"/>
      <c r="Z19" s="7"/>
    </row>
    <row r="20" spans="1:29" ht="42.75" customHeight="1" thickBot="1">
      <c r="A20" s="107">
        <v>46029</v>
      </c>
      <c r="B20" s="13" t="s">
        <v>101</v>
      </c>
      <c r="C20" s="108" t="s">
        <v>255</v>
      </c>
      <c r="D20" s="4" t="s">
        <v>23</v>
      </c>
      <c r="E20" s="4" t="s">
        <v>38</v>
      </c>
      <c r="F20" s="148">
        <v>8000</v>
      </c>
      <c r="G20" s="4" t="s">
        <v>260</v>
      </c>
      <c r="H20" s="7"/>
      <c r="I20" s="4" t="s">
        <v>256</v>
      </c>
      <c r="J20" s="4" t="s">
        <v>257</v>
      </c>
      <c r="K20" s="4"/>
      <c r="L20" s="4" t="s">
        <v>254</v>
      </c>
      <c r="M20" s="109" t="s">
        <v>258</v>
      </c>
      <c r="N20" s="4" t="s">
        <v>259</v>
      </c>
      <c r="O20" s="109"/>
      <c r="P20" s="4"/>
      <c r="Q20" s="7"/>
      <c r="R20" s="109"/>
      <c r="S20" s="7"/>
      <c r="T20" s="7"/>
      <c r="U20" s="7"/>
      <c r="V20" s="109"/>
      <c r="W20" s="109"/>
      <c r="X20" s="109"/>
      <c r="Y20" s="109"/>
      <c r="Z20" s="109"/>
      <c r="AA20" s="135"/>
      <c r="AC20" s="136"/>
    </row>
    <row r="21" spans="1:29" ht="34.5" thickBot="1">
      <c r="A21" s="107">
        <v>46030</v>
      </c>
      <c r="B21" s="13" t="s">
        <v>101</v>
      </c>
      <c r="C21" s="108" t="s">
        <v>261</v>
      </c>
      <c r="D21" s="4" t="s">
        <v>23</v>
      </c>
      <c r="E21" s="4" t="s">
        <v>24</v>
      </c>
      <c r="F21" s="148">
        <v>106000</v>
      </c>
      <c r="G21" s="4" t="s">
        <v>265</v>
      </c>
      <c r="H21" s="7"/>
      <c r="I21" s="4" t="s">
        <v>262</v>
      </c>
      <c r="J21" s="4" t="s">
        <v>263</v>
      </c>
      <c r="K21" s="4"/>
      <c r="L21" s="109"/>
      <c r="M21" s="109" t="s">
        <v>264</v>
      </c>
      <c r="N21" s="109"/>
      <c r="O21" s="109"/>
      <c r="P21" s="4"/>
      <c r="Q21" s="7"/>
      <c r="R21" s="109"/>
      <c r="S21" s="7"/>
      <c r="T21" s="7"/>
      <c r="U21" s="7"/>
      <c r="V21" s="109"/>
      <c r="W21" s="109"/>
      <c r="X21" s="109"/>
      <c r="Y21" s="109"/>
      <c r="Z21" s="109"/>
      <c r="AA21" s="135"/>
      <c r="AC21" s="136"/>
    </row>
    <row r="22" spans="1:29" ht="34.5" customHeight="1" thickBot="1">
      <c r="A22" s="107">
        <v>46031</v>
      </c>
      <c r="B22" s="13" t="s">
        <v>101</v>
      </c>
      <c r="C22" s="108" t="s">
        <v>261</v>
      </c>
      <c r="D22" s="4" t="s">
        <v>23</v>
      </c>
      <c r="E22" s="4" t="s">
        <v>38</v>
      </c>
      <c r="F22" s="148">
        <v>23000</v>
      </c>
      <c r="G22" s="4" t="s">
        <v>267</v>
      </c>
      <c r="H22" s="7"/>
      <c r="I22" s="4"/>
      <c r="J22" s="4" t="s">
        <v>266</v>
      </c>
      <c r="K22" s="4"/>
      <c r="L22" s="109"/>
      <c r="M22" s="109" t="s">
        <v>264</v>
      </c>
      <c r="N22" s="109"/>
      <c r="O22" s="109"/>
      <c r="P22" s="4"/>
      <c r="Q22" s="7"/>
      <c r="R22" s="109"/>
      <c r="S22" s="7"/>
      <c r="T22" s="7"/>
      <c r="U22" s="7"/>
      <c r="V22" s="109"/>
      <c r="W22" s="109"/>
      <c r="X22" s="109"/>
      <c r="Y22" s="109"/>
      <c r="Z22" s="109"/>
      <c r="AA22" s="135"/>
      <c r="AC22" s="136"/>
    </row>
    <row r="23" spans="1:29" ht="25.5" customHeight="1" thickBot="1">
      <c r="A23" s="110">
        <v>46030</v>
      </c>
      <c r="B23" s="13" t="s">
        <v>101</v>
      </c>
      <c r="C23" s="108" t="s">
        <v>268</v>
      </c>
      <c r="D23" s="4" t="s">
        <v>23</v>
      </c>
      <c r="E23" s="4" t="s">
        <v>24</v>
      </c>
      <c r="F23" s="146">
        <v>11400</v>
      </c>
      <c r="G23" s="109" t="s">
        <v>271</v>
      </c>
      <c r="H23" s="7"/>
      <c r="I23" s="4" t="s">
        <v>269</v>
      </c>
      <c r="J23" s="4" t="s">
        <v>270</v>
      </c>
      <c r="K23" s="4"/>
      <c r="L23" s="109"/>
      <c r="M23" s="109"/>
      <c r="N23" s="109"/>
      <c r="O23" s="109"/>
      <c r="P23" s="4"/>
      <c r="Q23" s="7"/>
      <c r="R23" s="109"/>
      <c r="S23" s="7"/>
      <c r="T23" s="7"/>
      <c r="U23" s="7"/>
      <c r="V23" s="109"/>
      <c r="W23" s="109"/>
      <c r="X23" s="109"/>
      <c r="Y23" s="109"/>
      <c r="Z23" s="109"/>
      <c r="AA23" s="135"/>
      <c r="AC23" s="136"/>
    </row>
    <row r="24" spans="1:29" ht="24.75" customHeight="1" thickBot="1">
      <c r="A24" s="110">
        <v>46029</v>
      </c>
      <c r="B24" s="13" t="s">
        <v>101</v>
      </c>
      <c r="C24" s="108" t="s">
        <v>273</v>
      </c>
      <c r="D24" s="4" t="s">
        <v>23</v>
      </c>
      <c r="E24" s="4" t="s">
        <v>38</v>
      </c>
      <c r="F24" s="148">
        <v>18000</v>
      </c>
      <c r="G24" s="109" t="s">
        <v>277</v>
      </c>
      <c r="H24" s="7"/>
      <c r="I24" s="4" t="s">
        <v>274</v>
      </c>
      <c r="J24" s="4" t="s">
        <v>275</v>
      </c>
      <c r="K24" s="4"/>
      <c r="L24" s="4" t="s">
        <v>272</v>
      </c>
      <c r="M24" s="109" t="s">
        <v>276</v>
      </c>
      <c r="N24" s="109"/>
      <c r="O24" s="109"/>
      <c r="P24" s="4"/>
      <c r="Q24" s="7"/>
      <c r="R24" s="109"/>
      <c r="S24" s="7"/>
      <c r="T24" s="7"/>
      <c r="U24" s="7"/>
      <c r="V24" s="109"/>
      <c r="W24" s="109"/>
      <c r="X24" s="109"/>
      <c r="Y24" s="92" t="s">
        <v>278</v>
      </c>
      <c r="Z24" s="109"/>
      <c r="AA24" s="135"/>
      <c r="AC24" s="136"/>
    </row>
    <row r="25" spans="1:29" ht="24.75" customHeight="1" thickBot="1">
      <c r="A25" s="110">
        <v>46028</v>
      </c>
      <c r="B25" s="13" t="s">
        <v>101</v>
      </c>
      <c r="C25" s="108" t="s">
        <v>279</v>
      </c>
      <c r="D25" s="4" t="s">
        <v>23</v>
      </c>
      <c r="E25" s="4" t="s">
        <v>24</v>
      </c>
      <c r="F25" s="148">
        <v>36000</v>
      </c>
      <c r="G25" s="109" t="s">
        <v>282</v>
      </c>
      <c r="H25" s="7"/>
      <c r="I25" s="4" t="s">
        <v>30</v>
      </c>
      <c r="J25" s="4" t="s">
        <v>280</v>
      </c>
      <c r="K25" s="4"/>
      <c r="L25" s="109"/>
      <c r="M25" s="109" t="s">
        <v>281</v>
      </c>
      <c r="N25" s="109"/>
      <c r="O25" s="109"/>
      <c r="P25" s="4"/>
      <c r="Q25" s="7"/>
      <c r="R25" s="109"/>
      <c r="S25" s="7"/>
      <c r="T25" s="7"/>
      <c r="U25" s="7"/>
      <c r="V25" s="109"/>
      <c r="W25" s="109"/>
      <c r="X25" s="109"/>
      <c r="Y25" s="4" t="s">
        <v>54</v>
      </c>
      <c r="Z25" s="109"/>
      <c r="AA25" s="135"/>
      <c r="AC25" s="136"/>
    </row>
    <row r="26" spans="1:29" ht="24.75" customHeight="1" thickBot="1">
      <c r="A26" s="110">
        <v>46028</v>
      </c>
      <c r="B26" s="13" t="s">
        <v>101</v>
      </c>
      <c r="C26" s="108" t="s">
        <v>284</v>
      </c>
      <c r="D26" s="4" t="s">
        <v>23</v>
      </c>
      <c r="E26" s="4" t="s">
        <v>38</v>
      </c>
      <c r="F26" s="148">
        <v>20000</v>
      </c>
      <c r="G26" s="109" t="s">
        <v>287</v>
      </c>
      <c r="H26" s="7"/>
      <c r="I26" s="4" t="s">
        <v>256</v>
      </c>
      <c r="J26" s="4" t="s">
        <v>285</v>
      </c>
      <c r="K26" s="4"/>
      <c r="L26" s="109" t="s">
        <v>283</v>
      </c>
      <c r="M26" s="109" t="s">
        <v>286</v>
      </c>
      <c r="N26" s="109"/>
      <c r="O26" s="109"/>
      <c r="P26" s="4"/>
      <c r="Q26" s="7"/>
      <c r="R26" s="109"/>
      <c r="S26" s="7"/>
      <c r="T26" s="7"/>
      <c r="U26" s="7"/>
      <c r="V26" s="109"/>
      <c r="W26" s="109"/>
      <c r="X26" s="109"/>
      <c r="Y26" s="109"/>
      <c r="Z26" s="109"/>
      <c r="AA26" s="135"/>
      <c r="AC26" s="136"/>
    </row>
    <row r="27" spans="1:29" ht="24.75" customHeight="1" thickBot="1">
      <c r="A27" s="110">
        <v>46050</v>
      </c>
      <c r="B27" s="13" t="s">
        <v>101</v>
      </c>
      <c r="C27" s="108" t="s">
        <v>289</v>
      </c>
      <c r="D27" s="4" t="s">
        <v>23</v>
      </c>
      <c r="E27" s="4" t="s">
        <v>24</v>
      </c>
      <c r="F27" s="148">
        <v>45000</v>
      </c>
      <c r="G27" s="109" t="s">
        <v>292</v>
      </c>
      <c r="H27" s="7"/>
      <c r="I27" s="4" t="s">
        <v>262</v>
      </c>
      <c r="J27" s="4" t="s">
        <v>290</v>
      </c>
      <c r="K27" s="4"/>
      <c r="L27" s="109" t="s">
        <v>288</v>
      </c>
      <c r="M27" s="109" t="s">
        <v>291</v>
      </c>
      <c r="N27" s="109"/>
      <c r="O27" s="109"/>
      <c r="P27" s="4"/>
      <c r="Q27" s="7"/>
      <c r="R27" s="109"/>
      <c r="S27" s="7"/>
      <c r="T27" s="7"/>
      <c r="U27" s="7"/>
      <c r="V27" s="109" t="s">
        <v>293</v>
      </c>
      <c r="W27" s="111">
        <v>46057</v>
      </c>
      <c r="X27" s="109"/>
      <c r="Y27" s="92" t="s">
        <v>278</v>
      </c>
      <c r="Z27" s="109"/>
      <c r="AA27" s="135"/>
      <c r="AC27" s="136"/>
    </row>
    <row r="28" spans="1:29" ht="24.75" customHeight="1" thickBot="1">
      <c r="A28" s="107">
        <v>46051</v>
      </c>
      <c r="B28" s="4" t="s">
        <v>101</v>
      </c>
      <c r="C28" s="139" t="s">
        <v>411</v>
      </c>
      <c r="D28" s="4" t="s">
        <v>23</v>
      </c>
      <c r="E28" s="4" t="s">
        <v>24</v>
      </c>
      <c r="F28" s="146">
        <v>950000</v>
      </c>
      <c r="G28" s="7" t="s">
        <v>410</v>
      </c>
      <c r="H28" s="178"/>
      <c r="I28" s="7"/>
      <c r="J28" s="109"/>
      <c r="K28" s="109"/>
      <c r="L28" s="4"/>
      <c r="M28" s="4"/>
      <c r="N28" s="4"/>
      <c r="O28" s="4"/>
      <c r="P28" s="4"/>
      <c r="Q28" s="109"/>
      <c r="R28" s="137"/>
      <c r="S28" s="137"/>
      <c r="T28" s="137"/>
      <c r="U28" s="109"/>
      <c r="V28" s="109"/>
      <c r="W28" s="7"/>
      <c r="X28" s="7"/>
      <c r="Y28" s="7"/>
      <c r="Z28" s="7"/>
    </row>
    <row r="29" spans="1:29" ht="24.75" customHeight="1" thickBot="1">
      <c r="A29" s="107">
        <v>46049</v>
      </c>
      <c r="B29" s="13" t="s">
        <v>101</v>
      </c>
      <c r="C29" s="108" t="s">
        <v>295</v>
      </c>
      <c r="D29" s="4" t="s">
        <v>23</v>
      </c>
      <c r="E29" s="4" t="s">
        <v>24</v>
      </c>
      <c r="F29" s="148">
        <v>15000</v>
      </c>
      <c r="G29" s="4" t="s">
        <v>297</v>
      </c>
      <c r="H29" s="7"/>
      <c r="I29" s="4" t="s">
        <v>30</v>
      </c>
      <c r="J29" s="4" t="s">
        <v>280</v>
      </c>
      <c r="K29" s="4"/>
      <c r="L29" s="4" t="s">
        <v>294</v>
      </c>
      <c r="M29" s="109" t="s">
        <v>296</v>
      </c>
      <c r="N29" s="109"/>
      <c r="O29" s="109"/>
      <c r="P29" s="4"/>
      <c r="Q29" s="7"/>
      <c r="R29" s="109"/>
      <c r="S29" s="7"/>
      <c r="T29" s="7"/>
      <c r="U29" s="7"/>
      <c r="V29" s="109"/>
      <c r="W29" s="109"/>
      <c r="X29" s="109"/>
      <c r="Y29" s="109"/>
      <c r="Z29" s="109"/>
      <c r="AA29" s="135"/>
      <c r="AC29" s="136"/>
    </row>
    <row r="30" spans="1:29" ht="24.75" customHeight="1" thickBot="1">
      <c r="A30" s="107">
        <v>46044</v>
      </c>
      <c r="B30" s="13" t="s">
        <v>101</v>
      </c>
      <c r="C30" s="108" t="s">
        <v>298</v>
      </c>
      <c r="D30" s="4" t="s">
        <v>23</v>
      </c>
      <c r="E30" s="4" t="s">
        <v>38</v>
      </c>
      <c r="F30" s="148">
        <v>4500</v>
      </c>
      <c r="G30" s="4" t="s">
        <v>303</v>
      </c>
      <c r="H30" s="7"/>
      <c r="I30" s="4"/>
      <c r="J30" s="4" t="s">
        <v>299</v>
      </c>
      <c r="K30" s="4"/>
      <c r="L30" s="109"/>
      <c r="M30" s="109" t="s">
        <v>300</v>
      </c>
      <c r="N30" s="109" t="s">
        <v>301</v>
      </c>
      <c r="O30" s="4" t="s">
        <v>302</v>
      </c>
      <c r="P30" s="4"/>
      <c r="Q30" s="7"/>
      <c r="R30" s="109"/>
      <c r="S30" s="7"/>
      <c r="T30" s="7"/>
      <c r="U30" s="7"/>
      <c r="V30" s="109"/>
      <c r="W30" s="109"/>
      <c r="X30" s="109"/>
      <c r="Y30" s="109"/>
      <c r="Z30" s="109"/>
      <c r="AA30" s="135"/>
      <c r="AC30" s="136"/>
    </row>
    <row r="31" spans="1:29" ht="24.75" customHeight="1" thickBot="1">
      <c r="A31" s="107">
        <v>46041</v>
      </c>
      <c r="B31" s="13" t="s">
        <v>101</v>
      </c>
      <c r="C31" s="108" t="s">
        <v>304</v>
      </c>
      <c r="D31" s="4" t="s">
        <v>23</v>
      </c>
      <c r="E31" s="4" t="s">
        <v>38</v>
      </c>
      <c r="F31" s="148">
        <v>9000</v>
      </c>
      <c r="G31" s="4" t="s">
        <v>308</v>
      </c>
      <c r="H31" s="7"/>
      <c r="I31" s="4"/>
      <c r="J31" s="4" t="s">
        <v>305</v>
      </c>
      <c r="K31" s="4"/>
      <c r="L31" s="109"/>
      <c r="M31" s="109" t="s">
        <v>306</v>
      </c>
      <c r="N31" s="109">
        <v>9480818536</v>
      </c>
      <c r="O31" s="4" t="s">
        <v>307</v>
      </c>
      <c r="P31" s="4"/>
      <c r="Q31" s="7"/>
      <c r="R31" s="109"/>
      <c r="S31" s="7"/>
      <c r="T31" s="7"/>
      <c r="U31" s="7"/>
      <c r="V31" s="109"/>
      <c r="W31" s="109"/>
      <c r="X31" s="109"/>
      <c r="Y31" s="109"/>
      <c r="Z31" s="109"/>
      <c r="AA31" s="135"/>
      <c r="AC31" s="136"/>
    </row>
    <row r="32" spans="1:29" ht="24.75" customHeight="1" thickBot="1">
      <c r="A32" s="107">
        <v>46038</v>
      </c>
      <c r="B32" s="13" t="s">
        <v>101</v>
      </c>
      <c r="C32" s="108" t="s">
        <v>298</v>
      </c>
      <c r="D32" s="4" t="s">
        <v>23</v>
      </c>
      <c r="E32" s="4" t="s">
        <v>38</v>
      </c>
      <c r="F32" s="148">
        <v>2500</v>
      </c>
      <c r="G32" s="4" t="s">
        <v>310</v>
      </c>
      <c r="H32" s="7"/>
      <c r="I32" s="4"/>
      <c r="J32" s="4" t="s">
        <v>309</v>
      </c>
      <c r="K32" s="4"/>
      <c r="L32" s="109"/>
      <c r="M32" s="109" t="s">
        <v>300</v>
      </c>
      <c r="N32" s="109" t="s">
        <v>301</v>
      </c>
      <c r="O32" s="4" t="s">
        <v>302</v>
      </c>
      <c r="P32" s="4"/>
      <c r="Q32" s="7"/>
      <c r="R32" s="109"/>
      <c r="S32" s="7"/>
      <c r="T32" s="7"/>
      <c r="U32" s="7"/>
      <c r="V32" s="109"/>
      <c r="W32" s="109"/>
      <c r="X32" s="109"/>
      <c r="Y32" s="109"/>
      <c r="Z32" s="109"/>
      <c r="AA32" s="135"/>
    </row>
    <row r="33" spans="1:30" ht="32.25" customHeight="1" thickBot="1">
      <c r="A33" s="112">
        <v>46035</v>
      </c>
      <c r="B33" s="13" t="s">
        <v>101</v>
      </c>
      <c r="C33" s="108" t="s">
        <v>312</v>
      </c>
      <c r="D33" s="4" t="s">
        <v>23</v>
      </c>
      <c r="E33" s="4" t="s">
        <v>24</v>
      </c>
      <c r="F33" s="148">
        <v>6300</v>
      </c>
      <c r="G33" s="4" t="s">
        <v>317</v>
      </c>
      <c r="H33" s="7"/>
      <c r="I33" s="4" t="s">
        <v>313</v>
      </c>
      <c r="J33" s="4" t="s">
        <v>314</v>
      </c>
      <c r="K33" s="4"/>
      <c r="L33" s="109" t="s">
        <v>311</v>
      </c>
      <c r="M33" s="109" t="s">
        <v>315</v>
      </c>
      <c r="N33" s="109"/>
      <c r="O33" s="4" t="s">
        <v>316</v>
      </c>
      <c r="P33" s="4"/>
      <c r="Q33" s="7"/>
      <c r="R33" s="109"/>
      <c r="S33" s="7"/>
      <c r="T33" s="7"/>
      <c r="U33" s="7"/>
      <c r="V33" s="109"/>
      <c r="W33" s="109"/>
      <c r="X33" s="109"/>
      <c r="Y33" s="109"/>
      <c r="Z33" s="109"/>
      <c r="AA33" s="135"/>
    </row>
    <row r="34" spans="1:30" ht="24.75" customHeight="1" thickBot="1">
      <c r="A34" s="107">
        <v>46027</v>
      </c>
      <c r="B34" s="13" t="s">
        <v>101</v>
      </c>
      <c r="C34" s="108" t="s">
        <v>298</v>
      </c>
      <c r="D34" s="4" t="s">
        <v>23</v>
      </c>
      <c r="E34" s="4" t="s">
        <v>38</v>
      </c>
      <c r="F34" s="148">
        <v>4000</v>
      </c>
      <c r="G34" s="4" t="s">
        <v>319</v>
      </c>
      <c r="H34" s="7"/>
      <c r="I34" s="4"/>
      <c r="J34" s="4" t="s">
        <v>318</v>
      </c>
      <c r="K34" s="4"/>
      <c r="L34" s="109"/>
      <c r="M34" s="109" t="s">
        <v>300</v>
      </c>
      <c r="N34" s="109" t="s">
        <v>301</v>
      </c>
      <c r="O34" s="4" t="s">
        <v>302</v>
      </c>
      <c r="P34" s="4"/>
      <c r="Q34" s="7"/>
      <c r="R34" s="109"/>
      <c r="S34" s="7"/>
      <c r="T34" s="7"/>
      <c r="U34" s="7"/>
      <c r="V34" s="109"/>
      <c r="W34" s="109"/>
      <c r="X34" s="109"/>
      <c r="Y34" s="109"/>
      <c r="Z34" s="109"/>
      <c r="AA34" s="135"/>
    </row>
    <row r="35" spans="1:30" ht="24.75" customHeight="1" thickBot="1">
      <c r="A35" s="107">
        <v>46043</v>
      </c>
      <c r="B35" s="13" t="s">
        <v>101</v>
      </c>
      <c r="C35" s="108" t="s">
        <v>321</v>
      </c>
      <c r="D35" s="4" t="s">
        <v>23</v>
      </c>
      <c r="E35" s="4" t="s">
        <v>24</v>
      </c>
      <c r="F35" s="148">
        <v>70000</v>
      </c>
      <c r="G35" s="4" t="s">
        <v>325</v>
      </c>
      <c r="H35" s="7"/>
      <c r="I35" s="4"/>
      <c r="J35" s="4" t="s">
        <v>322</v>
      </c>
      <c r="K35" s="4"/>
      <c r="L35" s="109" t="s">
        <v>320</v>
      </c>
      <c r="M35" s="109" t="s">
        <v>323</v>
      </c>
      <c r="N35" s="109"/>
      <c r="O35" s="4" t="s">
        <v>324</v>
      </c>
      <c r="P35" s="4" t="s">
        <v>175</v>
      </c>
      <c r="Q35" s="7"/>
      <c r="R35" s="7"/>
      <c r="S35" s="7"/>
      <c r="T35" s="7"/>
      <c r="U35" s="4"/>
      <c r="V35" s="109"/>
      <c r="W35" s="109"/>
      <c r="X35" s="109"/>
      <c r="Y35" s="109"/>
      <c r="Z35" s="109"/>
      <c r="AA35" s="135"/>
    </row>
    <row r="36" spans="1:30" ht="24.75" customHeight="1" thickBot="1">
      <c r="A36" s="107">
        <v>46079</v>
      </c>
      <c r="B36" s="4" t="s">
        <v>101</v>
      </c>
      <c r="C36" s="108" t="s">
        <v>327</v>
      </c>
      <c r="D36" s="4" t="s">
        <v>23</v>
      </c>
      <c r="E36" s="4" t="s">
        <v>38</v>
      </c>
      <c r="F36" s="151">
        <v>39285.71</v>
      </c>
      <c r="G36" s="4" t="s">
        <v>506</v>
      </c>
      <c r="H36" s="7"/>
      <c r="I36" s="4"/>
      <c r="J36" s="4" t="s">
        <v>328</v>
      </c>
      <c r="K36" s="4"/>
      <c r="L36" s="4"/>
      <c r="M36" s="109" t="s">
        <v>329</v>
      </c>
      <c r="N36" s="4" t="s">
        <v>330</v>
      </c>
      <c r="O36" s="4"/>
      <c r="P36" s="4" t="s">
        <v>331</v>
      </c>
      <c r="Q36" s="7"/>
      <c r="R36" s="7"/>
      <c r="S36" s="7"/>
      <c r="T36" s="7"/>
      <c r="U36" s="4"/>
      <c r="V36" s="4"/>
      <c r="W36" s="4"/>
      <c r="X36" s="4"/>
      <c r="Y36" s="4"/>
      <c r="Z36" s="137"/>
      <c r="AA36" s="135"/>
      <c r="AB36" s="135"/>
    </row>
    <row r="37" spans="1:30" ht="25.5" customHeight="1" thickBot="1">
      <c r="A37" s="107">
        <v>46079</v>
      </c>
      <c r="B37" s="4" t="s">
        <v>101</v>
      </c>
      <c r="C37" s="108" t="s">
        <v>332</v>
      </c>
      <c r="D37" s="4" t="s">
        <v>23</v>
      </c>
      <c r="E37" s="4" t="s">
        <v>24</v>
      </c>
      <c r="F37" s="151">
        <v>5000</v>
      </c>
      <c r="G37" s="4">
        <v>1056</v>
      </c>
      <c r="H37" s="7"/>
      <c r="I37" s="4"/>
      <c r="J37" s="4" t="s">
        <v>333</v>
      </c>
      <c r="K37" s="4"/>
      <c r="L37" s="4"/>
      <c r="M37" s="109"/>
      <c r="N37" s="4"/>
      <c r="O37" s="4" t="s">
        <v>334</v>
      </c>
      <c r="P37" s="7"/>
      <c r="Q37" s="4"/>
      <c r="R37" s="7"/>
      <c r="S37" s="7"/>
      <c r="T37" s="7"/>
      <c r="U37" s="4"/>
      <c r="V37" s="4"/>
      <c r="W37" s="4"/>
      <c r="X37" s="4"/>
      <c r="Y37" s="4"/>
      <c r="Z37" s="137"/>
      <c r="AA37" s="135"/>
      <c r="AB37" s="135"/>
    </row>
    <row r="38" spans="1:30" ht="24.75" customHeight="1" thickBot="1">
      <c r="A38" s="107">
        <v>46079</v>
      </c>
      <c r="B38" s="4" t="s">
        <v>101</v>
      </c>
      <c r="C38" s="108" t="s">
        <v>298</v>
      </c>
      <c r="D38" s="4" t="s">
        <v>23</v>
      </c>
      <c r="E38" s="4" t="s">
        <v>24</v>
      </c>
      <c r="F38" s="151">
        <v>24000</v>
      </c>
      <c r="G38" s="4" t="s">
        <v>339</v>
      </c>
      <c r="H38" s="7"/>
      <c r="I38" s="4" t="s">
        <v>335</v>
      </c>
      <c r="J38" s="4" t="s">
        <v>336</v>
      </c>
      <c r="K38" s="4"/>
      <c r="L38" s="4"/>
      <c r="M38" s="109" t="s">
        <v>300</v>
      </c>
      <c r="N38" s="4" t="s">
        <v>337</v>
      </c>
      <c r="O38" s="4" t="s">
        <v>338</v>
      </c>
      <c r="P38" s="7"/>
      <c r="Q38" s="4"/>
      <c r="R38" s="7"/>
      <c r="S38" s="4"/>
      <c r="T38" s="4" t="s">
        <v>27</v>
      </c>
      <c r="U38" s="4"/>
      <c r="V38" s="4"/>
      <c r="W38" s="4"/>
      <c r="X38" s="4"/>
      <c r="Y38" s="4"/>
      <c r="Z38" s="137"/>
      <c r="AA38" s="135"/>
      <c r="AB38" s="135"/>
    </row>
    <row r="39" spans="1:30" ht="24.75" customHeight="1" thickBot="1">
      <c r="A39" s="107">
        <v>46077</v>
      </c>
      <c r="B39" s="4" t="s">
        <v>101</v>
      </c>
      <c r="C39" s="108" t="s">
        <v>340</v>
      </c>
      <c r="D39" s="4" t="s">
        <v>23</v>
      </c>
      <c r="E39" s="4" t="s">
        <v>38</v>
      </c>
      <c r="F39" s="151">
        <v>34900</v>
      </c>
      <c r="G39" s="4" t="s">
        <v>343</v>
      </c>
      <c r="H39" s="7"/>
      <c r="I39" s="4"/>
      <c r="J39" s="4" t="s">
        <v>341</v>
      </c>
      <c r="K39" s="4"/>
      <c r="L39" s="4"/>
      <c r="M39" s="109" t="s">
        <v>342</v>
      </c>
      <c r="N39" s="4"/>
      <c r="O39" s="4"/>
      <c r="P39" s="7"/>
      <c r="Q39" s="4"/>
      <c r="R39" s="7"/>
      <c r="S39" s="4"/>
      <c r="T39" s="4" t="s">
        <v>27</v>
      </c>
      <c r="U39" s="4"/>
      <c r="V39" s="4"/>
      <c r="W39" s="4"/>
      <c r="X39" s="7"/>
      <c r="Y39" s="7"/>
      <c r="Z39" s="137"/>
      <c r="AA39" s="135"/>
      <c r="AB39" s="135"/>
    </row>
    <row r="40" spans="1:30" ht="24.75" customHeight="1" thickBot="1">
      <c r="A40" s="107">
        <v>46077</v>
      </c>
      <c r="B40" s="4" t="s">
        <v>101</v>
      </c>
      <c r="C40" s="108" t="s">
        <v>350</v>
      </c>
      <c r="D40" s="4" t="s">
        <v>23</v>
      </c>
      <c r="E40" s="4" t="s">
        <v>98</v>
      </c>
      <c r="F40" s="151">
        <v>129000</v>
      </c>
      <c r="G40" s="4">
        <v>4900163973</v>
      </c>
      <c r="H40" s="7"/>
      <c r="I40" s="116"/>
      <c r="J40" s="4" t="s">
        <v>56</v>
      </c>
      <c r="K40" s="4"/>
      <c r="L40" s="4" t="s">
        <v>349</v>
      </c>
      <c r="M40" s="109" t="s">
        <v>351</v>
      </c>
      <c r="N40" s="4" t="s">
        <v>352</v>
      </c>
      <c r="O40" s="4"/>
      <c r="P40" s="7"/>
      <c r="Q40" s="4"/>
      <c r="R40" s="7"/>
      <c r="S40" s="4"/>
      <c r="T40" s="4"/>
      <c r="U40" s="4"/>
      <c r="V40" s="4"/>
      <c r="W40" s="4"/>
      <c r="X40" s="7"/>
      <c r="Y40" s="7"/>
      <c r="Z40" s="137"/>
      <c r="AA40" s="135"/>
      <c r="AB40" s="135"/>
    </row>
    <row r="41" spans="1:30" ht="24.75" customHeight="1" thickBot="1">
      <c r="A41" s="107">
        <v>46077</v>
      </c>
      <c r="B41" s="4" t="s">
        <v>101</v>
      </c>
      <c r="C41" s="108" t="s">
        <v>354</v>
      </c>
      <c r="D41" s="4" t="s">
        <v>23</v>
      </c>
      <c r="E41" s="4" t="s">
        <v>98</v>
      </c>
      <c r="F41" s="151">
        <v>478500</v>
      </c>
      <c r="G41" s="4" t="s">
        <v>360</v>
      </c>
      <c r="I41" s="4" t="s">
        <v>355</v>
      </c>
      <c r="J41" s="4" t="s">
        <v>356</v>
      </c>
      <c r="K41" s="4"/>
      <c r="L41" s="4" t="s">
        <v>353</v>
      </c>
      <c r="M41" s="109" t="s">
        <v>357</v>
      </c>
      <c r="N41" s="4" t="s">
        <v>358</v>
      </c>
      <c r="O41" s="4" t="s">
        <v>359</v>
      </c>
      <c r="P41" s="7"/>
      <c r="Q41" s="4"/>
      <c r="R41" s="7"/>
      <c r="S41" s="7"/>
      <c r="T41" s="4" t="s">
        <v>367</v>
      </c>
      <c r="U41" s="4" t="s">
        <v>366</v>
      </c>
      <c r="V41" s="4"/>
      <c r="W41" s="4"/>
      <c r="X41" s="7"/>
      <c r="Y41" s="7"/>
      <c r="Z41" s="137"/>
      <c r="AA41" s="135"/>
      <c r="AB41" s="135"/>
    </row>
    <row r="42" spans="1:30" ht="24.75" customHeight="1" thickBot="1">
      <c r="A42" s="107">
        <v>46077</v>
      </c>
      <c r="B42" s="4" t="s">
        <v>101</v>
      </c>
      <c r="C42" s="108" t="s">
        <v>361</v>
      </c>
      <c r="D42" s="4" t="s">
        <v>23</v>
      </c>
      <c r="E42" s="4" t="s">
        <v>24</v>
      </c>
      <c r="F42" s="151">
        <v>5000</v>
      </c>
      <c r="G42" s="4" t="s">
        <v>365</v>
      </c>
      <c r="H42" s="7"/>
      <c r="I42" s="4" t="s">
        <v>362</v>
      </c>
      <c r="J42" s="4" t="s">
        <v>363</v>
      </c>
      <c r="K42" s="4"/>
      <c r="L42" s="4"/>
      <c r="M42" s="4" t="s">
        <v>364</v>
      </c>
      <c r="N42" s="4"/>
      <c r="O42" s="4"/>
      <c r="P42" s="7"/>
      <c r="Q42" s="109"/>
      <c r="R42" s="7"/>
      <c r="S42" s="7"/>
      <c r="T42" s="7"/>
      <c r="U42" s="4"/>
      <c r="V42" s="4"/>
      <c r="W42" s="4"/>
      <c r="X42" s="7"/>
      <c r="Y42" s="7"/>
      <c r="Z42" s="137"/>
      <c r="AA42" s="135"/>
      <c r="AB42" s="135"/>
      <c r="AD42" s="163"/>
    </row>
    <row r="43" spans="1:30" ht="24.75" customHeight="1" thickBot="1">
      <c r="A43" s="107">
        <v>46076</v>
      </c>
      <c r="B43" s="4" t="s">
        <v>101</v>
      </c>
      <c r="C43" s="108" t="s">
        <v>368</v>
      </c>
      <c r="D43" s="4" t="s">
        <v>23</v>
      </c>
      <c r="E43" s="4" t="s">
        <v>24</v>
      </c>
      <c r="F43" s="151">
        <v>38750</v>
      </c>
      <c r="G43" s="4" t="s">
        <v>369</v>
      </c>
      <c r="H43" s="7"/>
      <c r="I43" s="4"/>
      <c r="J43" s="4"/>
      <c r="K43" s="4"/>
      <c r="L43" s="4"/>
      <c r="M43" s="4"/>
      <c r="N43" s="4"/>
      <c r="O43" s="4"/>
      <c r="P43" s="7"/>
      <c r="Q43" s="109"/>
      <c r="R43" s="7"/>
      <c r="S43" s="7"/>
      <c r="T43" s="7"/>
      <c r="U43" s="4"/>
      <c r="V43" s="4"/>
      <c r="W43" s="4"/>
      <c r="X43" s="4"/>
      <c r="Y43" s="4"/>
      <c r="Z43" s="137"/>
      <c r="AA43" s="135"/>
      <c r="AB43" s="135"/>
    </row>
    <row r="44" spans="1:30" ht="24.75" customHeight="1" thickBot="1">
      <c r="A44" s="107">
        <v>46065</v>
      </c>
      <c r="B44" s="4" t="s">
        <v>101</v>
      </c>
      <c r="C44" s="108" t="s">
        <v>370</v>
      </c>
      <c r="D44" s="4" t="s">
        <v>23</v>
      </c>
      <c r="E44" s="4" t="s">
        <v>38</v>
      </c>
      <c r="F44" s="151">
        <v>23500</v>
      </c>
      <c r="G44" s="4" t="s">
        <v>77</v>
      </c>
      <c r="H44" s="7"/>
      <c r="I44" s="4"/>
      <c r="J44" s="4" t="s">
        <v>49</v>
      </c>
      <c r="K44" s="4"/>
      <c r="L44" s="4" t="s">
        <v>78</v>
      </c>
      <c r="M44" s="109" t="s">
        <v>371</v>
      </c>
      <c r="N44" s="4" t="s">
        <v>372</v>
      </c>
      <c r="O44" s="4"/>
      <c r="P44" s="7"/>
      <c r="Q44" s="4"/>
      <c r="R44" s="7"/>
      <c r="S44" s="7"/>
      <c r="T44" s="7"/>
      <c r="U44" s="4"/>
      <c r="V44" s="4"/>
      <c r="W44" s="4"/>
      <c r="X44" s="4"/>
      <c r="Y44" s="4"/>
      <c r="Z44" s="137"/>
      <c r="AA44" s="135"/>
      <c r="AB44" s="135"/>
    </row>
    <row r="45" spans="1:30" ht="24.75" customHeight="1" thickBot="1">
      <c r="A45" s="107">
        <v>46063</v>
      </c>
      <c r="B45" s="4" t="s">
        <v>101</v>
      </c>
      <c r="C45" s="108" t="s">
        <v>354</v>
      </c>
      <c r="D45" s="4" t="s">
        <v>23</v>
      </c>
      <c r="E45" s="4" t="s">
        <v>38</v>
      </c>
      <c r="F45" s="151">
        <v>40000</v>
      </c>
      <c r="G45" s="4" t="s">
        <v>374</v>
      </c>
      <c r="H45" s="7"/>
      <c r="I45" s="4"/>
      <c r="J45" s="4" t="s">
        <v>373</v>
      </c>
      <c r="K45" s="4"/>
      <c r="L45" s="4"/>
      <c r="M45" s="109" t="s">
        <v>357</v>
      </c>
      <c r="N45" s="4" t="s">
        <v>358</v>
      </c>
      <c r="O45" s="4" t="s">
        <v>359</v>
      </c>
      <c r="P45" s="7"/>
      <c r="Q45" s="4"/>
      <c r="R45" s="7"/>
      <c r="S45" s="7"/>
      <c r="T45" s="7"/>
      <c r="U45" s="4"/>
      <c r="V45" s="4"/>
      <c r="W45" s="4"/>
      <c r="X45" s="4"/>
      <c r="Y45" s="4"/>
      <c r="Z45" s="137"/>
      <c r="AA45" s="135"/>
      <c r="AB45" s="135"/>
    </row>
    <row r="46" spans="1:30" ht="24.75" customHeight="1" thickBot="1">
      <c r="A46" s="107">
        <v>46066</v>
      </c>
      <c r="B46" s="4" t="s">
        <v>101</v>
      </c>
      <c r="C46" s="108" t="s">
        <v>268</v>
      </c>
      <c r="D46" s="4" t="s">
        <v>23</v>
      </c>
      <c r="E46" s="4" t="s">
        <v>24</v>
      </c>
      <c r="F46" s="146">
        <v>36669.64</v>
      </c>
      <c r="G46" s="109" t="s">
        <v>377</v>
      </c>
      <c r="H46" s="7"/>
      <c r="I46" s="4" t="s">
        <v>375</v>
      </c>
      <c r="J46" s="4" t="s">
        <v>376</v>
      </c>
      <c r="K46" s="4"/>
      <c r="L46" s="109"/>
      <c r="M46" s="109"/>
      <c r="N46" s="109"/>
      <c r="O46" s="109"/>
      <c r="P46" s="7"/>
      <c r="Q46" s="109"/>
      <c r="R46" s="7"/>
      <c r="S46" s="7"/>
      <c r="T46" s="7"/>
      <c r="U46" s="109"/>
      <c r="V46" s="109"/>
      <c r="W46" s="109"/>
      <c r="X46" s="109"/>
      <c r="Y46" s="109"/>
      <c r="Z46" s="137"/>
      <c r="AA46" s="135"/>
      <c r="AB46" s="135"/>
    </row>
    <row r="47" spans="1:30" ht="24.75" customHeight="1" thickBot="1">
      <c r="A47" s="107">
        <v>46062</v>
      </c>
      <c r="B47" s="4" t="s">
        <v>101</v>
      </c>
      <c r="C47" s="108" t="s">
        <v>379</v>
      </c>
      <c r="D47" s="4" t="s">
        <v>23</v>
      </c>
      <c r="E47" s="4" t="s">
        <v>24</v>
      </c>
      <c r="F47" s="148">
        <v>110000</v>
      </c>
      <c r="G47" s="4" t="s">
        <v>325</v>
      </c>
      <c r="H47" s="7"/>
      <c r="I47" s="4" t="s">
        <v>380</v>
      </c>
      <c r="J47" s="4" t="s">
        <v>381</v>
      </c>
      <c r="K47" s="4"/>
      <c r="L47" s="4" t="s">
        <v>378</v>
      </c>
      <c r="M47" s="109" t="s">
        <v>382</v>
      </c>
      <c r="N47" s="4"/>
      <c r="O47" s="4" t="s">
        <v>383</v>
      </c>
      <c r="P47" s="7"/>
      <c r="Q47" s="109" t="s">
        <v>384</v>
      </c>
      <c r="R47" s="7"/>
      <c r="S47" s="7"/>
      <c r="T47" s="109" t="s">
        <v>385</v>
      </c>
      <c r="U47" s="109" t="s">
        <v>386</v>
      </c>
      <c r="V47" s="109"/>
      <c r="W47" s="109"/>
      <c r="X47" s="7"/>
      <c r="Y47" s="7"/>
      <c r="Z47" s="137"/>
      <c r="AA47" s="135"/>
      <c r="AB47" s="135"/>
    </row>
    <row r="48" spans="1:30" ht="45.75" customHeight="1" thickBot="1">
      <c r="A48" s="107">
        <v>46062</v>
      </c>
      <c r="B48" s="4" t="s">
        <v>101</v>
      </c>
      <c r="C48" s="108" t="s">
        <v>148</v>
      </c>
      <c r="D48" s="4" t="s">
        <v>23</v>
      </c>
      <c r="E48" s="4" t="s">
        <v>24</v>
      </c>
      <c r="F48" s="151">
        <v>347330</v>
      </c>
      <c r="G48" s="4" t="s">
        <v>393</v>
      </c>
      <c r="H48" s="7"/>
      <c r="I48" s="4" t="s">
        <v>388</v>
      </c>
      <c r="J48" s="4" t="s">
        <v>389</v>
      </c>
      <c r="K48" s="4"/>
      <c r="L48" s="4" t="s">
        <v>387</v>
      </c>
      <c r="M48" s="4" t="s">
        <v>390</v>
      </c>
      <c r="N48" s="4"/>
      <c r="O48" s="4" t="s">
        <v>391</v>
      </c>
      <c r="P48" s="7"/>
      <c r="Q48" s="4" t="s">
        <v>392</v>
      </c>
      <c r="R48" s="7"/>
      <c r="S48" s="7"/>
      <c r="T48" s="4" t="s">
        <v>27</v>
      </c>
      <c r="U48" s="109" t="s">
        <v>386</v>
      </c>
      <c r="V48" s="4"/>
      <c r="W48" s="4"/>
      <c r="X48" s="7"/>
      <c r="Y48" s="7"/>
      <c r="Z48" s="137"/>
      <c r="AA48" s="135"/>
      <c r="AB48" s="135"/>
    </row>
    <row r="49" spans="1:29" ht="24.75" customHeight="1" thickBot="1">
      <c r="A49" s="113">
        <v>46063</v>
      </c>
      <c r="B49" s="17" t="s">
        <v>101</v>
      </c>
      <c r="C49" s="114" t="s">
        <v>298</v>
      </c>
      <c r="D49" s="17" t="s">
        <v>23</v>
      </c>
      <c r="E49" s="17" t="s">
        <v>38</v>
      </c>
      <c r="F49" s="152">
        <v>2000</v>
      </c>
      <c r="G49" s="17" t="s">
        <v>396</v>
      </c>
      <c r="H49" s="16"/>
      <c r="I49" s="17" t="s">
        <v>394</v>
      </c>
      <c r="J49" s="17" t="s">
        <v>395</v>
      </c>
      <c r="K49" s="17"/>
      <c r="L49" s="17"/>
      <c r="M49" s="115" t="s">
        <v>300</v>
      </c>
      <c r="N49" s="17" t="s">
        <v>337</v>
      </c>
      <c r="O49" s="17" t="s">
        <v>338</v>
      </c>
      <c r="P49" s="16"/>
      <c r="Q49" s="17"/>
      <c r="R49" s="16"/>
      <c r="S49" s="16"/>
      <c r="T49" s="17"/>
      <c r="U49" s="17"/>
      <c r="V49" s="17"/>
      <c r="W49" s="17"/>
      <c r="X49" s="16"/>
      <c r="Y49" s="16"/>
      <c r="Z49" s="138"/>
      <c r="AA49" s="135"/>
      <c r="AB49" s="135"/>
    </row>
    <row r="50" spans="1:29" ht="24.75" customHeight="1" thickBot="1">
      <c r="A50" s="107">
        <v>46063</v>
      </c>
      <c r="B50" s="4" t="s">
        <v>101</v>
      </c>
      <c r="C50" s="108" t="s">
        <v>298</v>
      </c>
      <c r="D50" s="4" t="s">
        <v>23</v>
      </c>
      <c r="E50" s="4" t="s">
        <v>24</v>
      </c>
      <c r="F50" s="151">
        <v>24000</v>
      </c>
      <c r="G50" s="4" t="s">
        <v>397</v>
      </c>
      <c r="H50" s="7"/>
      <c r="I50" s="4" t="s">
        <v>335</v>
      </c>
      <c r="J50" s="4" t="s">
        <v>336</v>
      </c>
      <c r="K50" s="4"/>
      <c r="L50" s="4"/>
      <c r="M50" s="109" t="s">
        <v>300</v>
      </c>
      <c r="N50" s="4" t="s">
        <v>337</v>
      </c>
      <c r="O50" s="4" t="s">
        <v>338</v>
      </c>
      <c r="P50" s="7"/>
      <c r="Q50" s="4"/>
      <c r="R50" s="7"/>
      <c r="S50" s="7"/>
      <c r="T50" s="4"/>
      <c r="U50" s="4"/>
      <c r="V50" s="4"/>
      <c r="W50" s="4"/>
      <c r="X50" s="7"/>
      <c r="Y50" s="7"/>
      <c r="Z50" s="137"/>
      <c r="AA50" s="135"/>
      <c r="AB50" s="135"/>
    </row>
    <row r="51" spans="1:29" ht="24.75" customHeight="1" thickBot="1">
      <c r="A51" s="107">
        <v>46063</v>
      </c>
      <c r="B51" s="4" t="s">
        <v>101</v>
      </c>
      <c r="C51" s="108" t="s">
        <v>298</v>
      </c>
      <c r="D51" s="4" t="s">
        <v>23</v>
      </c>
      <c r="E51" s="4" t="s">
        <v>38</v>
      </c>
      <c r="F51" s="151">
        <v>16800</v>
      </c>
      <c r="G51" s="4" t="s">
        <v>400</v>
      </c>
      <c r="H51" s="7"/>
      <c r="I51" s="4" t="s">
        <v>58</v>
      </c>
      <c r="J51" s="4" t="s">
        <v>398</v>
      </c>
      <c r="K51" s="4"/>
      <c r="L51" s="4"/>
      <c r="M51" s="109" t="s">
        <v>300</v>
      </c>
      <c r="N51" s="4" t="s">
        <v>399</v>
      </c>
      <c r="O51" s="4" t="s">
        <v>338</v>
      </c>
      <c r="P51" s="7"/>
      <c r="Q51" s="4"/>
      <c r="R51" s="7"/>
      <c r="S51" s="7"/>
      <c r="T51" s="4"/>
      <c r="U51" s="4"/>
      <c r="V51" s="4"/>
      <c r="W51" s="4"/>
      <c r="X51" s="7"/>
      <c r="Y51" s="7"/>
      <c r="Z51" s="137"/>
      <c r="AA51" s="135"/>
      <c r="AB51" s="135"/>
    </row>
    <row r="52" spans="1:29" ht="37.5" customHeight="1" thickBot="1">
      <c r="A52" s="107">
        <v>46062</v>
      </c>
      <c r="B52" s="4" t="s">
        <v>101</v>
      </c>
      <c r="C52" s="108" t="s">
        <v>401</v>
      </c>
      <c r="D52" s="4" t="s">
        <v>23</v>
      </c>
      <c r="E52" s="4" t="s">
        <v>24</v>
      </c>
      <c r="F52" s="148">
        <v>428000</v>
      </c>
      <c r="G52" s="4" t="s">
        <v>406</v>
      </c>
      <c r="H52" s="7"/>
      <c r="I52" s="4" t="s">
        <v>402</v>
      </c>
      <c r="J52" s="4" t="s">
        <v>403</v>
      </c>
      <c r="K52" s="4"/>
      <c r="L52" s="4"/>
      <c r="M52" s="109" t="s">
        <v>404</v>
      </c>
      <c r="N52" s="4"/>
      <c r="O52" s="4" t="s">
        <v>405</v>
      </c>
      <c r="P52" s="7"/>
      <c r="Q52" s="109" t="s">
        <v>384</v>
      </c>
      <c r="R52" s="7"/>
      <c r="S52" s="7"/>
      <c r="T52" s="109"/>
      <c r="U52" s="109" t="s">
        <v>386</v>
      </c>
      <c r="V52" s="109"/>
      <c r="W52" s="109"/>
      <c r="X52" s="7"/>
      <c r="Y52" s="7"/>
      <c r="Z52" s="137"/>
      <c r="AA52" s="135"/>
      <c r="AB52" s="135"/>
    </row>
    <row r="53" spans="1:29" ht="24.75" customHeight="1" thickBot="1">
      <c r="A53" s="107">
        <v>46064</v>
      </c>
      <c r="B53" s="4" t="s">
        <v>101</v>
      </c>
      <c r="C53" s="108" t="s">
        <v>361</v>
      </c>
      <c r="D53" s="4" t="s">
        <v>23</v>
      </c>
      <c r="E53" s="4" t="s">
        <v>24</v>
      </c>
      <c r="F53" s="151">
        <v>26000</v>
      </c>
      <c r="G53" s="4" t="s">
        <v>325</v>
      </c>
      <c r="H53" s="7"/>
      <c r="I53" s="4" t="s">
        <v>407</v>
      </c>
      <c r="J53" s="4" t="s">
        <v>408</v>
      </c>
      <c r="K53" s="4"/>
      <c r="L53" s="4"/>
      <c r="M53" s="4" t="s">
        <v>364</v>
      </c>
      <c r="N53" s="4"/>
      <c r="O53" s="4"/>
      <c r="P53" s="7"/>
      <c r="Q53" s="109" t="s">
        <v>409</v>
      </c>
      <c r="R53" s="7"/>
      <c r="S53" s="7"/>
      <c r="T53" s="4" t="s">
        <v>366</v>
      </c>
      <c r="U53" s="4" t="s">
        <v>367</v>
      </c>
      <c r="V53" s="4"/>
      <c r="W53" s="4"/>
      <c r="X53" s="7"/>
      <c r="Y53" s="7"/>
      <c r="Z53" s="137"/>
      <c r="AA53" s="135"/>
      <c r="AB53" s="135"/>
    </row>
    <row r="54" spans="1:29" ht="24.75" customHeight="1" thickBot="1">
      <c r="A54" s="107">
        <v>46085</v>
      </c>
      <c r="B54" s="4" t="s">
        <v>101</v>
      </c>
      <c r="C54" s="108" t="s">
        <v>298</v>
      </c>
      <c r="D54" s="4" t="s">
        <v>23</v>
      </c>
      <c r="E54" s="4" t="s">
        <v>38</v>
      </c>
      <c r="F54" s="151">
        <v>8500</v>
      </c>
      <c r="G54" s="4" t="s">
        <v>502</v>
      </c>
      <c r="H54" s="7"/>
      <c r="I54" s="4" t="s">
        <v>58</v>
      </c>
      <c r="J54" s="4"/>
      <c r="K54" s="4"/>
      <c r="L54" s="4"/>
      <c r="M54" s="109" t="s">
        <v>300</v>
      </c>
      <c r="N54" s="4" t="s">
        <v>399</v>
      </c>
      <c r="O54" s="4" t="s">
        <v>338</v>
      </c>
      <c r="P54" s="7"/>
      <c r="Q54" s="4"/>
      <c r="R54" s="7"/>
      <c r="S54" s="7"/>
      <c r="T54" s="4"/>
      <c r="U54" s="4"/>
      <c r="V54" s="4"/>
      <c r="W54" s="4"/>
      <c r="X54" s="7"/>
      <c r="Y54" s="7"/>
      <c r="Z54" s="137"/>
      <c r="AA54" s="135"/>
      <c r="AB54" s="135"/>
    </row>
    <row r="55" spans="1:29" ht="24.75" customHeight="1" thickBot="1">
      <c r="A55" s="107">
        <v>46087</v>
      </c>
      <c r="B55" s="4" t="s">
        <v>101</v>
      </c>
      <c r="C55" s="108" t="s">
        <v>558</v>
      </c>
      <c r="D55" s="4" t="s">
        <v>23</v>
      </c>
      <c r="E55" s="4" t="s">
        <v>24</v>
      </c>
      <c r="F55" s="151">
        <v>398670</v>
      </c>
      <c r="G55" s="4" t="s">
        <v>559</v>
      </c>
      <c r="H55" s="178"/>
      <c r="I55" s="4"/>
      <c r="J55" s="4"/>
      <c r="K55" s="4"/>
      <c r="L55" s="4"/>
      <c r="M55" s="109"/>
      <c r="N55" s="4"/>
      <c r="O55" s="4"/>
      <c r="P55" s="7"/>
      <c r="Q55" s="4"/>
      <c r="R55" s="7"/>
      <c r="S55" s="7"/>
      <c r="T55" s="4"/>
      <c r="U55" s="4"/>
      <c r="V55" s="4"/>
      <c r="W55" s="4"/>
      <c r="X55" s="7"/>
      <c r="Y55" s="7"/>
      <c r="Z55" s="137"/>
      <c r="AA55" s="135"/>
      <c r="AB55" s="135"/>
    </row>
    <row r="56" spans="1:29" ht="33" customHeight="1" thickBot="1">
      <c r="A56" s="107">
        <v>46084</v>
      </c>
      <c r="B56" s="4" t="s">
        <v>101</v>
      </c>
      <c r="C56" s="108" t="s">
        <v>441</v>
      </c>
      <c r="D56" s="4" t="s">
        <v>23</v>
      </c>
      <c r="E56" s="4" t="s">
        <v>24</v>
      </c>
      <c r="F56" s="151">
        <v>707500</v>
      </c>
      <c r="G56" s="4"/>
      <c r="H56" s="178"/>
      <c r="I56" s="4"/>
      <c r="J56" s="4"/>
      <c r="K56" s="4"/>
      <c r="L56" s="4"/>
      <c r="M56" s="4" t="s">
        <v>442</v>
      </c>
      <c r="N56" s="4"/>
      <c r="O56" s="4"/>
      <c r="P56" s="7"/>
      <c r="Q56" s="109"/>
      <c r="R56" s="7"/>
      <c r="S56" s="7"/>
      <c r="T56" s="4"/>
      <c r="U56" s="4"/>
      <c r="V56" s="4"/>
      <c r="W56" s="4"/>
      <c r="X56" s="7"/>
      <c r="Y56" s="7"/>
      <c r="Z56" s="137"/>
      <c r="AA56" s="135"/>
      <c r="AB56" s="135"/>
    </row>
    <row r="57" spans="1:29" ht="33" customHeight="1" thickBot="1">
      <c r="A57" s="107">
        <v>46093</v>
      </c>
      <c r="B57" s="4" t="s">
        <v>101</v>
      </c>
      <c r="C57" s="108" t="s">
        <v>564</v>
      </c>
      <c r="D57" s="4" t="s">
        <v>23</v>
      </c>
      <c r="E57" s="4" t="s">
        <v>24</v>
      </c>
      <c r="F57" s="151">
        <v>110000</v>
      </c>
      <c r="G57" s="4"/>
      <c r="H57" s="216"/>
      <c r="I57" s="4"/>
      <c r="J57" s="4"/>
      <c r="K57" s="4"/>
      <c r="L57" s="4"/>
      <c r="M57" s="4"/>
      <c r="N57" s="4"/>
      <c r="O57" s="4"/>
      <c r="P57" s="7"/>
      <c r="Q57" s="109"/>
      <c r="R57" s="7"/>
      <c r="S57" s="7"/>
      <c r="T57" s="4"/>
      <c r="U57" s="4"/>
      <c r="V57" s="4"/>
      <c r="W57" s="4"/>
      <c r="X57" s="7"/>
      <c r="Y57" s="216"/>
      <c r="Z57" s="359"/>
      <c r="AA57" s="135"/>
      <c r="AB57" s="135"/>
    </row>
    <row r="58" spans="1:29" ht="25.5" customHeight="1" thickBot="1">
      <c r="A58" s="107">
        <v>46093</v>
      </c>
      <c r="B58" s="13" t="s">
        <v>101</v>
      </c>
      <c r="C58" s="108" t="s">
        <v>268</v>
      </c>
      <c r="D58" s="4" t="s">
        <v>23</v>
      </c>
      <c r="E58" s="4" t="s">
        <v>24</v>
      </c>
      <c r="F58" s="146">
        <v>19821.43</v>
      </c>
      <c r="G58" s="4"/>
      <c r="H58" s="7"/>
      <c r="I58" s="4"/>
      <c r="J58" s="4"/>
      <c r="K58" s="4"/>
      <c r="L58" s="109"/>
      <c r="M58" s="109"/>
      <c r="N58" s="109"/>
      <c r="O58" s="109"/>
      <c r="P58" s="4"/>
      <c r="Q58" s="7"/>
      <c r="R58" s="109"/>
      <c r="S58" s="7"/>
      <c r="T58" s="7"/>
      <c r="U58" s="7"/>
      <c r="V58" s="109"/>
      <c r="W58" s="109"/>
      <c r="X58" s="109"/>
      <c r="Y58" s="109"/>
      <c r="Z58" s="109"/>
      <c r="AA58" s="135"/>
      <c r="AC58" s="136"/>
    </row>
    <row r="59" spans="1:29" ht="24.75" customHeight="1" thickBot="1">
      <c r="A59" s="107">
        <v>46085</v>
      </c>
      <c r="B59" s="4" t="s">
        <v>173</v>
      </c>
      <c r="C59" s="139" t="s">
        <v>493</v>
      </c>
      <c r="D59" s="4" t="s">
        <v>23</v>
      </c>
      <c r="E59" s="4" t="s">
        <v>24</v>
      </c>
      <c r="F59" s="146">
        <v>89000</v>
      </c>
      <c r="G59" s="13" t="s">
        <v>494</v>
      </c>
      <c r="H59" s="216"/>
      <c r="I59" s="13" t="s">
        <v>496</v>
      </c>
      <c r="J59" s="109" t="s">
        <v>495</v>
      </c>
      <c r="K59" s="109"/>
      <c r="L59" s="4"/>
      <c r="M59" s="4"/>
      <c r="N59" s="4"/>
      <c r="O59" s="4"/>
      <c r="P59" s="4"/>
      <c r="Q59" s="109"/>
      <c r="R59" s="137"/>
      <c r="S59" s="137"/>
      <c r="T59" s="137"/>
      <c r="U59" s="109"/>
      <c r="V59" s="109"/>
      <c r="W59" s="7"/>
      <c r="X59" s="7"/>
      <c r="Y59" s="216"/>
      <c r="Z59" s="216"/>
    </row>
    <row r="60" spans="1:29" ht="24.75" customHeight="1" thickBot="1">
      <c r="A60" s="179">
        <v>46036</v>
      </c>
      <c r="B60" s="4" t="s">
        <v>173</v>
      </c>
      <c r="C60" s="8" t="s">
        <v>436</v>
      </c>
      <c r="D60" s="4" t="s">
        <v>23</v>
      </c>
      <c r="E60" s="4" t="s">
        <v>24</v>
      </c>
      <c r="F60" s="220">
        <v>232000</v>
      </c>
      <c r="G60" s="4" t="s">
        <v>437</v>
      </c>
      <c r="H60" s="106"/>
      <c r="I60" s="7"/>
      <c r="J60" s="109"/>
      <c r="K60" s="109"/>
      <c r="L60" s="4"/>
      <c r="M60" s="4"/>
      <c r="N60" s="4"/>
      <c r="O60" s="4"/>
      <c r="P60" s="4"/>
      <c r="Q60" s="109"/>
      <c r="R60" s="137"/>
      <c r="S60" s="137"/>
      <c r="T60" s="137"/>
      <c r="U60" s="109"/>
      <c r="V60" s="109"/>
      <c r="W60" s="7"/>
      <c r="X60" s="7"/>
    </row>
    <row r="61" spans="1:29" ht="24.75" customHeight="1" thickBot="1">
      <c r="A61" s="107">
        <v>46028</v>
      </c>
      <c r="B61" s="4" t="s">
        <v>153</v>
      </c>
      <c r="C61" s="130" t="s">
        <v>412</v>
      </c>
      <c r="D61" s="4" t="s">
        <v>23</v>
      </c>
      <c r="E61" s="4" t="s">
        <v>38</v>
      </c>
      <c r="F61" s="146">
        <v>22000</v>
      </c>
      <c r="G61" s="4">
        <v>4136</v>
      </c>
      <c r="H61" s="7"/>
      <c r="I61" s="4"/>
      <c r="J61" s="4"/>
      <c r="K61" s="4"/>
      <c r="L61" s="4"/>
      <c r="M61" s="4"/>
      <c r="N61" s="4"/>
      <c r="O61" s="4"/>
      <c r="P61" s="7"/>
      <c r="Q61" s="109"/>
      <c r="R61" s="7"/>
      <c r="S61" s="7"/>
      <c r="T61" s="4"/>
      <c r="U61" s="4"/>
      <c r="V61" s="4"/>
      <c r="W61" s="4"/>
      <c r="X61" s="7"/>
      <c r="Y61" s="7"/>
      <c r="Z61" s="137"/>
      <c r="AA61" s="135"/>
      <c r="AB61" s="135"/>
    </row>
    <row r="62" spans="1:29" ht="24.75" customHeight="1" thickBot="1">
      <c r="A62" s="107">
        <v>46037</v>
      </c>
      <c r="B62" s="4" t="s">
        <v>153</v>
      </c>
      <c r="C62" s="130" t="s">
        <v>413</v>
      </c>
      <c r="D62" s="140" t="s">
        <v>51</v>
      </c>
      <c r="E62" s="134" t="s">
        <v>24</v>
      </c>
      <c r="F62" s="145" t="s">
        <v>414</v>
      </c>
      <c r="G62" s="4" t="s">
        <v>415</v>
      </c>
      <c r="H62" s="4"/>
      <c r="I62" s="4"/>
      <c r="J62" s="4"/>
      <c r="K62" s="4"/>
      <c r="L62" s="4"/>
      <c r="M62" s="4"/>
      <c r="N62" s="4"/>
      <c r="O62" s="4"/>
      <c r="P62" s="4"/>
      <c r="Q62" s="109"/>
      <c r="R62" s="137"/>
      <c r="S62" s="137"/>
      <c r="T62" s="137"/>
      <c r="U62" s="109"/>
      <c r="V62" s="109"/>
      <c r="W62" s="7"/>
      <c r="X62" s="7"/>
      <c r="Y62" s="7"/>
      <c r="Z62" s="7"/>
    </row>
    <row r="63" spans="1:29" ht="17.25" customHeight="1" thickBot="1">
      <c r="A63" s="173">
        <v>46076</v>
      </c>
      <c r="B63" s="4" t="s">
        <v>153</v>
      </c>
      <c r="C63" s="174" t="s">
        <v>432</v>
      </c>
      <c r="D63" s="140" t="s">
        <v>23</v>
      </c>
      <c r="E63" s="134" t="s">
        <v>24</v>
      </c>
      <c r="F63" s="175">
        <v>8500</v>
      </c>
      <c r="G63" s="4" t="s">
        <v>433</v>
      </c>
      <c r="H63" s="4"/>
      <c r="I63" s="4"/>
      <c r="J63" s="4"/>
      <c r="K63" s="4"/>
      <c r="L63" s="4"/>
      <c r="M63" s="4"/>
      <c r="N63" s="4"/>
      <c r="O63" s="4"/>
      <c r="P63" s="4"/>
      <c r="Q63" s="109"/>
      <c r="R63" s="137"/>
      <c r="S63" s="137"/>
      <c r="T63" s="137"/>
      <c r="U63" s="109"/>
      <c r="V63" s="109"/>
      <c r="W63" s="7"/>
      <c r="X63" s="7"/>
      <c r="Y63" s="7"/>
      <c r="Z63" s="7"/>
    </row>
    <row r="64" spans="1:29" ht="16.5" customHeight="1" thickBot="1">
      <c r="A64" s="173">
        <v>46080</v>
      </c>
      <c r="B64" s="4" t="s">
        <v>153</v>
      </c>
      <c r="C64" s="174" t="s">
        <v>434</v>
      </c>
      <c r="D64" s="140" t="s">
        <v>23</v>
      </c>
      <c r="E64" s="134" t="s">
        <v>24</v>
      </c>
      <c r="F64" s="175">
        <v>13800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109"/>
      <c r="R64" s="137"/>
      <c r="S64" s="137"/>
      <c r="T64" s="137"/>
      <c r="U64" s="109"/>
      <c r="V64" s="109"/>
      <c r="W64" s="7"/>
      <c r="X64" s="7"/>
      <c r="Y64" s="7"/>
      <c r="Z64" s="7"/>
    </row>
    <row r="65" spans="1:28" ht="16.5" customHeight="1" thickBot="1">
      <c r="A65" s="173"/>
      <c r="B65" s="4"/>
      <c r="C65" s="174"/>
      <c r="D65" s="140"/>
      <c r="E65" s="134"/>
      <c r="F65" s="175"/>
      <c r="G65" s="4"/>
      <c r="H65" s="4"/>
      <c r="I65" s="4"/>
      <c r="J65" s="4"/>
      <c r="K65" s="4"/>
      <c r="L65" s="4"/>
      <c r="M65" s="4"/>
      <c r="N65" s="4"/>
      <c r="O65" s="4"/>
      <c r="P65" s="4"/>
      <c r="Q65" s="109"/>
      <c r="R65" s="137"/>
      <c r="S65" s="137"/>
      <c r="T65" s="137"/>
      <c r="U65" s="109"/>
      <c r="V65" s="109"/>
      <c r="W65" s="7"/>
      <c r="X65" s="7"/>
      <c r="Y65" s="7"/>
      <c r="Z65" s="7"/>
    </row>
    <row r="66" spans="1:28" ht="33.75" customHeight="1" thickBot="1">
      <c r="A66" s="107">
        <v>46085</v>
      </c>
      <c r="B66" s="13" t="s">
        <v>438</v>
      </c>
      <c r="C66" s="139" t="s">
        <v>497</v>
      </c>
      <c r="D66" s="140" t="s">
        <v>23</v>
      </c>
      <c r="E66" s="134" t="s">
        <v>24</v>
      </c>
      <c r="F66" s="175">
        <v>525000</v>
      </c>
      <c r="G66" s="4" t="s">
        <v>498</v>
      </c>
      <c r="H66" s="4"/>
      <c r="I66" s="4" t="s">
        <v>69</v>
      </c>
      <c r="J66" s="4" t="s">
        <v>40</v>
      </c>
      <c r="K66" s="4"/>
      <c r="L66" s="4" t="s">
        <v>499</v>
      </c>
      <c r="M66" s="4"/>
      <c r="N66" s="4"/>
      <c r="O66" s="4"/>
      <c r="P66" s="4"/>
      <c r="Q66" s="109"/>
      <c r="R66" s="137"/>
      <c r="S66" s="137"/>
      <c r="T66" s="137"/>
      <c r="U66" s="109"/>
      <c r="V66" s="109"/>
      <c r="W66" s="7"/>
      <c r="X66" s="7"/>
      <c r="Y66" s="7"/>
      <c r="Z66" s="7"/>
    </row>
    <row r="67" spans="1:28" ht="33.75" customHeight="1" thickBot="1">
      <c r="A67" s="107">
        <v>46085</v>
      </c>
      <c r="B67" s="13" t="s">
        <v>438</v>
      </c>
      <c r="C67" s="139" t="s">
        <v>488</v>
      </c>
      <c r="D67" s="140" t="s">
        <v>23</v>
      </c>
      <c r="E67" s="134" t="s">
        <v>24</v>
      </c>
      <c r="F67" s="175">
        <v>567000</v>
      </c>
      <c r="G67" s="4" t="s">
        <v>489</v>
      </c>
      <c r="H67" s="4"/>
      <c r="I67" s="4" t="s">
        <v>69</v>
      </c>
      <c r="J67" s="4" t="s">
        <v>490</v>
      </c>
      <c r="K67" s="4"/>
      <c r="L67" s="4"/>
      <c r="M67" s="4" t="s">
        <v>491</v>
      </c>
      <c r="N67" s="4" t="s">
        <v>492</v>
      </c>
      <c r="O67" s="4"/>
      <c r="P67" s="4"/>
      <c r="Q67" s="109"/>
      <c r="R67" s="137"/>
      <c r="S67" s="137"/>
      <c r="T67" s="137"/>
      <c r="U67" s="109"/>
      <c r="V67" s="109"/>
      <c r="W67" s="7"/>
      <c r="X67" s="7"/>
      <c r="Y67" s="7"/>
      <c r="Z67" s="7"/>
    </row>
    <row r="68" spans="1:28" ht="15" customHeight="1" thickBot="1">
      <c r="A68" s="107">
        <v>46084</v>
      </c>
      <c r="B68" s="13" t="s">
        <v>438</v>
      </c>
      <c r="C68" s="174" t="s">
        <v>443</v>
      </c>
      <c r="D68" s="140" t="s">
        <v>23</v>
      </c>
      <c r="E68" s="134" t="s">
        <v>38</v>
      </c>
      <c r="F68" s="175">
        <v>14000</v>
      </c>
      <c r="G68" s="4" t="s">
        <v>444</v>
      </c>
      <c r="H68" s="4"/>
      <c r="I68" s="4"/>
      <c r="J68" s="4"/>
      <c r="K68" s="4"/>
      <c r="L68" s="4"/>
      <c r="M68" s="4"/>
      <c r="N68" s="4"/>
      <c r="O68" s="4"/>
      <c r="P68" s="4"/>
      <c r="Q68" s="109"/>
      <c r="R68" s="137"/>
      <c r="S68" s="137"/>
      <c r="T68" s="137"/>
      <c r="U68" s="109"/>
      <c r="V68" s="109"/>
      <c r="W68" s="7"/>
      <c r="X68" s="7"/>
      <c r="Y68" s="7"/>
      <c r="Z68" s="7"/>
    </row>
    <row r="69" spans="1:28" ht="15" customHeight="1" thickBot="1">
      <c r="A69" s="173">
        <v>46065</v>
      </c>
      <c r="B69" s="13" t="s">
        <v>438</v>
      </c>
      <c r="C69" s="174" t="s">
        <v>501</v>
      </c>
      <c r="D69" s="140" t="s">
        <v>51</v>
      </c>
      <c r="E69" s="134" t="s">
        <v>24</v>
      </c>
      <c r="F69" s="175">
        <v>1802890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109"/>
      <c r="R69" s="137"/>
      <c r="S69" s="137"/>
      <c r="T69" s="137"/>
      <c r="U69" s="109"/>
      <c r="V69" s="109"/>
      <c r="W69" s="7"/>
      <c r="X69" s="7"/>
      <c r="Y69" s="7"/>
      <c r="Z69" s="7"/>
    </row>
    <row r="70" spans="1:28" ht="14.25" customHeight="1" thickBot="1">
      <c r="A70" s="173">
        <v>46066</v>
      </c>
      <c r="B70" s="13" t="s">
        <v>438</v>
      </c>
      <c r="C70" s="174" t="s">
        <v>439</v>
      </c>
      <c r="D70" s="140" t="s">
        <v>23</v>
      </c>
      <c r="E70" s="134" t="s">
        <v>24</v>
      </c>
      <c r="F70" s="181">
        <v>1587400</v>
      </c>
      <c r="G70" s="4">
        <v>10126</v>
      </c>
      <c r="H70" s="4"/>
      <c r="I70" s="4"/>
      <c r="J70" s="4"/>
      <c r="K70" s="4"/>
      <c r="L70" s="4"/>
      <c r="M70" s="4"/>
      <c r="N70" s="4"/>
      <c r="O70" s="4"/>
      <c r="P70" s="4"/>
      <c r="Q70" s="109"/>
      <c r="R70" s="137"/>
      <c r="S70" s="137"/>
      <c r="T70" s="137"/>
      <c r="U70" s="109"/>
      <c r="V70" s="109"/>
      <c r="W70" s="7"/>
      <c r="X70" s="7"/>
      <c r="Y70" s="7"/>
      <c r="Z70" s="7"/>
    </row>
    <row r="71" spans="1:28" ht="24.75" customHeight="1" thickBot="1">
      <c r="A71" s="107">
        <v>46077</v>
      </c>
      <c r="B71" s="13" t="s">
        <v>101</v>
      </c>
      <c r="C71" s="108" t="s">
        <v>345</v>
      </c>
      <c r="D71" s="4" t="s">
        <v>23</v>
      </c>
      <c r="E71" s="4" t="s">
        <v>38</v>
      </c>
      <c r="F71" s="151">
        <v>4000</v>
      </c>
      <c r="G71" s="4">
        <v>10570180</v>
      </c>
      <c r="H71" s="178"/>
      <c r="I71" s="4"/>
      <c r="J71" s="4" t="s">
        <v>346</v>
      </c>
      <c r="K71" s="4"/>
      <c r="L71" s="4" t="s">
        <v>344</v>
      </c>
      <c r="M71" s="109" t="s">
        <v>347</v>
      </c>
      <c r="N71" s="4" t="s">
        <v>348</v>
      </c>
      <c r="O71" s="4"/>
      <c r="P71" s="7"/>
      <c r="Q71" s="4"/>
      <c r="R71" s="7"/>
      <c r="S71" s="4"/>
      <c r="T71" s="4" t="s">
        <v>27</v>
      </c>
      <c r="U71" s="4"/>
      <c r="V71" s="4"/>
      <c r="W71" s="4"/>
      <c r="X71" s="7"/>
      <c r="Y71" s="7"/>
      <c r="Z71" s="137"/>
      <c r="AA71" s="135"/>
      <c r="AB71" s="135"/>
    </row>
    <row r="72" spans="1:28" ht="24.75" customHeight="1">
      <c r="D72" s="142"/>
      <c r="E72" s="136"/>
      <c r="F72" s="339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35"/>
      <c r="R72" s="144"/>
      <c r="S72" s="144"/>
      <c r="T72" s="144"/>
      <c r="U72" s="135"/>
      <c r="V72" s="135"/>
    </row>
    <row r="73" spans="1:28" ht="24.75" customHeight="1">
      <c r="D73" s="142"/>
      <c r="E73" s="136"/>
      <c r="F73" s="15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35"/>
      <c r="R73" s="144"/>
      <c r="S73" s="144"/>
      <c r="T73" s="144"/>
      <c r="U73" s="135"/>
      <c r="V73" s="135"/>
    </row>
    <row r="74" spans="1:28" ht="24.75" customHeight="1">
      <c r="D74" s="142"/>
      <c r="E74" s="136"/>
      <c r="F74" s="15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35"/>
      <c r="R74" s="144"/>
      <c r="S74" s="144"/>
      <c r="T74" s="144"/>
      <c r="U74" s="135"/>
      <c r="V74" s="135"/>
    </row>
    <row r="75" spans="1:28" ht="24.75" customHeight="1">
      <c r="D75" s="142"/>
      <c r="E75" s="136"/>
      <c r="F75" s="15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35"/>
      <c r="R75" s="144"/>
      <c r="S75" s="144"/>
      <c r="T75" s="144"/>
      <c r="U75" s="135"/>
      <c r="V75" s="135"/>
    </row>
    <row r="76" spans="1:28" ht="24.75" customHeight="1">
      <c r="D76" s="142"/>
      <c r="E76" s="136"/>
      <c r="F76" s="15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35"/>
      <c r="R76" s="144"/>
      <c r="S76" s="144"/>
      <c r="T76" s="144"/>
      <c r="U76" s="135"/>
      <c r="V76" s="135"/>
    </row>
    <row r="77" spans="1:28" ht="24.75" customHeight="1">
      <c r="D77" s="142"/>
      <c r="E77" s="136"/>
      <c r="F77" s="15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35"/>
      <c r="R77" s="144"/>
      <c r="S77" s="144"/>
      <c r="T77" s="144"/>
      <c r="U77" s="135"/>
      <c r="V77" s="135"/>
    </row>
    <row r="78" spans="1:28" ht="24.75" customHeight="1">
      <c r="D78" s="142"/>
      <c r="E78" s="136"/>
      <c r="F78" s="15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35"/>
      <c r="R78" s="144"/>
      <c r="S78" s="144"/>
      <c r="T78" s="144"/>
      <c r="U78" s="135"/>
      <c r="V78" s="135"/>
    </row>
    <row r="79" spans="1:28" ht="24.75" customHeight="1">
      <c r="D79" s="142"/>
      <c r="E79" s="136"/>
      <c r="F79" s="15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35"/>
      <c r="R79" s="144"/>
      <c r="S79" s="144"/>
      <c r="T79" s="144"/>
      <c r="U79" s="135"/>
      <c r="V79" s="135"/>
    </row>
    <row r="80" spans="1:28" ht="24.75" customHeight="1">
      <c r="D80" s="142"/>
      <c r="E80" s="136"/>
      <c r="F80" s="15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35"/>
      <c r="R80" s="144"/>
      <c r="S80" s="144"/>
      <c r="T80" s="144"/>
      <c r="U80" s="135"/>
      <c r="V80" s="135"/>
    </row>
    <row r="81" spans="4:22" ht="24.75" customHeight="1">
      <c r="D81" s="142"/>
      <c r="E81" s="136"/>
      <c r="F81" s="15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35"/>
      <c r="R81" s="144"/>
      <c r="S81" s="144"/>
      <c r="T81" s="144"/>
      <c r="U81" s="135"/>
      <c r="V81" s="135"/>
    </row>
    <row r="82" spans="4:22" ht="24.75" customHeight="1">
      <c r="D82" s="142"/>
      <c r="E82" s="136"/>
      <c r="F82" s="15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35"/>
      <c r="R82" s="144"/>
      <c r="S82" s="144"/>
      <c r="T82" s="144"/>
      <c r="U82" s="135"/>
      <c r="V82" s="135"/>
    </row>
    <row r="83" spans="4:22" ht="24.75" customHeight="1">
      <c r="D83" s="142"/>
      <c r="E83" s="136"/>
      <c r="F83" s="15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35"/>
      <c r="R83" s="144"/>
      <c r="S83" s="144"/>
      <c r="T83" s="144"/>
      <c r="U83" s="135"/>
      <c r="V83" s="135"/>
    </row>
    <row r="84" spans="4:22" ht="24.75" customHeight="1">
      <c r="D84" s="142"/>
      <c r="E84" s="136"/>
      <c r="F84" s="15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35"/>
      <c r="R84" s="144"/>
      <c r="S84" s="144"/>
      <c r="T84" s="144"/>
      <c r="U84" s="135"/>
      <c r="V84" s="135"/>
    </row>
    <row r="85" spans="4:22" ht="24.75" customHeight="1">
      <c r="D85" s="142"/>
      <c r="E85" s="136"/>
      <c r="F85" s="15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35"/>
      <c r="R85" s="144"/>
      <c r="S85" s="144"/>
      <c r="T85" s="144"/>
      <c r="U85" s="135"/>
      <c r="V85" s="135"/>
    </row>
    <row r="86" spans="4:22" ht="24.75" customHeight="1">
      <c r="D86" s="142"/>
      <c r="E86" s="136"/>
      <c r="F86" s="15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35"/>
      <c r="R86" s="144"/>
      <c r="S86" s="144"/>
      <c r="T86" s="144"/>
      <c r="U86" s="135"/>
      <c r="V86" s="135"/>
    </row>
    <row r="87" spans="4:22" ht="24.75" customHeight="1">
      <c r="D87" s="142"/>
      <c r="E87" s="136"/>
      <c r="F87" s="15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35"/>
      <c r="R87" s="144"/>
      <c r="S87" s="144"/>
      <c r="T87" s="144"/>
      <c r="U87" s="135"/>
      <c r="V87" s="135"/>
    </row>
    <row r="88" spans="4:22" ht="24.75" customHeight="1">
      <c r="D88" s="142"/>
      <c r="E88" s="136"/>
      <c r="F88" s="15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35"/>
      <c r="R88" s="144"/>
      <c r="S88" s="144"/>
      <c r="T88" s="144"/>
      <c r="U88" s="135"/>
      <c r="V88" s="135"/>
    </row>
    <row r="89" spans="4:22" ht="24.75" customHeight="1">
      <c r="D89" s="142"/>
      <c r="E89" s="136"/>
      <c r="F89" s="15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35"/>
      <c r="R89" s="144"/>
      <c r="S89" s="144"/>
      <c r="T89" s="144"/>
      <c r="U89" s="135"/>
      <c r="V89" s="135"/>
    </row>
    <row r="90" spans="4:22" ht="24.75" customHeight="1">
      <c r="D90" s="142"/>
      <c r="E90" s="136"/>
      <c r="F90" s="15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35"/>
      <c r="R90" s="144"/>
      <c r="S90" s="144"/>
      <c r="T90" s="144"/>
      <c r="U90" s="135"/>
      <c r="V90" s="135"/>
    </row>
    <row r="91" spans="4:22" ht="24.75" customHeight="1">
      <c r="D91" s="142"/>
      <c r="E91" s="136"/>
      <c r="F91" s="15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35"/>
      <c r="R91" s="144"/>
      <c r="S91" s="144"/>
      <c r="T91" s="144"/>
      <c r="U91" s="135"/>
      <c r="V91" s="135"/>
    </row>
    <row r="92" spans="4:22" ht="24.75" customHeight="1">
      <c r="D92" s="142"/>
      <c r="E92" s="136"/>
      <c r="F92" s="15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35"/>
      <c r="R92" s="144"/>
      <c r="S92" s="144"/>
      <c r="T92" s="144"/>
      <c r="U92" s="135"/>
      <c r="V92" s="135"/>
    </row>
    <row r="93" spans="4:22" ht="24.75" customHeight="1">
      <c r="D93" s="142"/>
      <c r="E93" s="136"/>
      <c r="F93" s="15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35"/>
      <c r="R93" s="144"/>
      <c r="S93" s="144"/>
      <c r="T93" s="144"/>
      <c r="U93" s="135"/>
      <c r="V93" s="135"/>
    </row>
    <row r="94" spans="4:22" ht="24.75" customHeight="1">
      <c r="D94" s="142"/>
      <c r="E94" s="136"/>
      <c r="F94" s="15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35"/>
      <c r="R94" s="144"/>
      <c r="S94" s="144"/>
      <c r="T94" s="144"/>
      <c r="U94" s="135"/>
      <c r="V94" s="135"/>
    </row>
    <row r="95" spans="4:22" ht="24.75" customHeight="1">
      <c r="D95" s="142"/>
      <c r="E95" s="136"/>
      <c r="F95" s="15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35"/>
      <c r="R95" s="144"/>
      <c r="S95" s="144"/>
      <c r="T95" s="144"/>
      <c r="U95" s="135"/>
      <c r="V95" s="135"/>
    </row>
    <row r="96" spans="4:22" ht="24.75" customHeight="1">
      <c r="D96" s="142"/>
      <c r="E96" s="136"/>
      <c r="F96" s="15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35"/>
      <c r="R96" s="144"/>
      <c r="S96" s="144"/>
      <c r="T96" s="144"/>
      <c r="U96" s="135"/>
      <c r="V96" s="135"/>
    </row>
    <row r="97" spans="4:22" ht="24.75" customHeight="1">
      <c r="D97" s="142"/>
      <c r="E97" s="136"/>
      <c r="F97" s="15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35"/>
      <c r="R97" s="144"/>
      <c r="S97" s="144"/>
      <c r="T97" s="144"/>
      <c r="U97" s="135"/>
      <c r="V97" s="135"/>
    </row>
    <row r="98" spans="4:22" ht="24.75" customHeight="1">
      <c r="D98" s="142"/>
      <c r="E98" s="136"/>
      <c r="F98" s="15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35"/>
      <c r="R98" s="144"/>
      <c r="S98" s="144"/>
      <c r="T98" s="144"/>
      <c r="U98" s="135"/>
      <c r="V98" s="135"/>
    </row>
    <row r="99" spans="4:22" ht="24.75" customHeight="1">
      <c r="D99" s="142"/>
      <c r="E99" s="136"/>
      <c r="F99" s="15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35"/>
      <c r="R99" s="144"/>
      <c r="S99" s="144"/>
      <c r="T99" s="144"/>
      <c r="U99" s="135"/>
      <c r="V99" s="135"/>
    </row>
    <row r="100" spans="4:22" ht="24.75" customHeight="1">
      <c r="D100" s="142"/>
      <c r="E100" s="136"/>
      <c r="F100" s="15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35"/>
      <c r="R100" s="144"/>
      <c r="S100" s="144"/>
      <c r="T100" s="144"/>
      <c r="U100" s="135"/>
      <c r="V100" s="135"/>
    </row>
    <row r="101" spans="4:22" ht="24.75" customHeight="1">
      <c r="D101" s="142"/>
      <c r="E101" s="136"/>
      <c r="F101" s="15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35"/>
      <c r="R101" s="144"/>
      <c r="S101" s="144"/>
      <c r="T101" s="144"/>
      <c r="U101" s="135"/>
      <c r="V101" s="135"/>
    </row>
    <row r="102" spans="4:22" ht="24.75" customHeight="1">
      <c r="D102" s="142"/>
      <c r="E102" s="136"/>
      <c r="F102" s="15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35"/>
      <c r="R102" s="144"/>
      <c r="S102" s="144"/>
      <c r="T102" s="144"/>
      <c r="U102" s="135"/>
      <c r="V102" s="135"/>
    </row>
    <row r="103" spans="4:22" ht="24.75" customHeight="1">
      <c r="D103" s="142"/>
      <c r="E103" s="136"/>
      <c r="F103" s="15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35"/>
      <c r="R103" s="144"/>
      <c r="S103" s="144"/>
      <c r="T103" s="144"/>
      <c r="U103" s="135"/>
      <c r="V103" s="135"/>
    </row>
    <row r="104" spans="4:22" ht="24.75" customHeight="1">
      <c r="D104" s="142"/>
      <c r="E104" s="136"/>
      <c r="F104" s="15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35"/>
      <c r="R104" s="144"/>
      <c r="S104" s="144"/>
      <c r="T104" s="144"/>
      <c r="U104" s="135"/>
      <c r="V104" s="135"/>
    </row>
    <row r="105" spans="4:22" ht="24.75" customHeight="1">
      <c r="D105" s="142"/>
      <c r="E105" s="136"/>
      <c r="F105" s="15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35"/>
      <c r="R105" s="144"/>
      <c r="S105" s="144"/>
      <c r="T105" s="144"/>
      <c r="U105" s="135"/>
      <c r="V105" s="135"/>
    </row>
    <row r="106" spans="4:22" ht="24.75" customHeight="1">
      <c r="D106" s="142"/>
      <c r="E106" s="136"/>
      <c r="F106" s="15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35"/>
      <c r="R106" s="144"/>
      <c r="S106" s="144"/>
      <c r="T106" s="144"/>
      <c r="U106" s="135"/>
      <c r="V106" s="135"/>
    </row>
    <row r="107" spans="4:22" ht="24.75" customHeight="1">
      <c r="D107" s="142"/>
      <c r="E107" s="136"/>
      <c r="F107" s="15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35"/>
      <c r="R107" s="144"/>
      <c r="S107" s="144"/>
      <c r="T107" s="144"/>
      <c r="U107" s="135"/>
      <c r="V107" s="135"/>
    </row>
    <row r="108" spans="4:22" ht="24.75" customHeight="1">
      <c r="D108" s="142"/>
      <c r="E108" s="136"/>
      <c r="F108" s="15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35"/>
      <c r="R108" s="144"/>
      <c r="S108" s="144"/>
      <c r="T108" s="144"/>
      <c r="U108" s="135"/>
      <c r="V108" s="135"/>
    </row>
    <row r="109" spans="4:22" ht="24.75" customHeight="1">
      <c r="D109" s="142"/>
      <c r="E109" s="136"/>
      <c r="F109" s="15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35"/>
      <c r="R109" s="144"/>
      <c r="S109" s="144"/>
      <c r="T109" s="144"/>
      <c r="U109" s="135"/>
      <c r="V109" s="135"/>
    </row>
    <row r="110" spans="4:22" ht="24.75" customHeight="1">
      <c r="D110" s="142"/>
      <c r="E110" s="136"/>
      <c r="F110" s="15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35"/>
      <c r="R110" s="144"/>
      <c r="S110" s="144"/>
      <c r="T110" s="144"/>
      <c r="U110" s="135"/>
      <c r="V110" s="135"/>
    </row>
    <row r="111" spans="4:22" ht="24.75" customHeight="1">
      <c r="D111" s="142"/>
      <c r="E111" s="136"/>
      <c r="F111" s="15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35"/>
      <c r="R111" s="144"/>
      <c r="S111" s="144"/>
      <c r="T111" s="144"/>
      <c r="U111" s="135"/>
      <c r="V111" s="135"/>
    </row>
    <row r="112" spans="4:22" ht="24.75" customHeight="1">
      <c r="D112" s="142"/>
      <c r="E112" s="136"/>
      <c r="F112" s="15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35"/>
      <c r="R112" s="144"/>
      <c r="S112" s="144"/>
      <c r="T112" s="144"/>
      <c r="U112" s="135"/>
      <c r="V112" s="135"/>
    </row>
    <row r="113" spans="4:22" ht="24.75" customHeight="1">
      <c r="D113" s="142"/>
      <c r="E113" s="136"/>
      <c r="F113" s="15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35"/>
      <c r="R113" s="144"/>
      <c r="S113" s="144"/>
      <c r="T113" s="144"/>
      <c r="U113" s="135"/>
      <c r="V113" s="135"/>
    </row>
    <row r="114" spans="4:22" ht="24.75" customHeight="1">
      <c r="D114" s="142"/>
      <c r="E114" s="136"/>
      <c r="F114" s="15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35"/>
      <c r="R114" s="144"/>
      <c r="S114" s="144"/>
      <c r="T114" s="144"/>
      <c r="U114" s="135"/>
      <c r="V114" s="135"/>
    </row>
    <row r="115" spans="4:22" ht="24.75" customHeight="1">
      <c r="D115" s="142"/>
      <c r="E115" s="136"/>
      <c r="F115" s="15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35"/>
      <c r="R115" s="144"/>
      <c r="S115" s="144"/>
      <c r="T115" s="144"/>
      <c r="U115" s="135"/>
      <c r="V115" s="135"/>
    </row>
    <row r="116" spans="4:22" ht="24.75" customHeight="1">
      <c r="D116" s="142"/>
      <c r="E116" s="136"/>
      <c r="F116" s="15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35"/>
      <c r="R116" s="144"/>
      <c r="S116" s="144"/>
      <c r="T116" s="144"/>
      <c r="U116" s="135"/>
      <c r="V116" s="135"/>
    </row>
    <row r="117" spans="4:22" ht="24.75" customHeight="1">
      <c r="D117" s="142"/>
      <c r="E117" s="136"/>
      <c r="F117" s="15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35"/>
      <c r="R117" s="144"/>
      <c r="S117" s="144"/>
      <c r="T117" s="144"/>
      <c r="U117" s="135"/>
      <c r="V117" s="135"/>
    </row>
    <row r="118" spans="4:22" ht="24.75" customHeight="1">
      <c r="D118" s="142"/>
      <c r="E118" s="136"/>
      <c r="F118" s="15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35"/>
      <c r="R118" s="144"/>
      <c r="S118" s="144"/>
      <c r="T118" s="144"/>
      <c r="U118" s="135"/>
      <c r="V118" s="135"/>
    </row>
    <row r="119" spans="4:22" ht="24.75" customHeight="1">
      <c r="D119" s="142"/>
      <c r="E119" s="136"/>
      <c r="F119" s="15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35"/>
      <c r="R119" s="144"/>
      <c r="S119" s="144"/>
      <c r="T119" s="144"/>
      <c r="U119" s="135"/>
      <c r="V119" s="135"/>
    </row>
    <row r="120" spans="4:22" ht="24.75" customHeight="1">
      <c r="D120" s="142"/>
      <c r="E120" s="136"/>
      <c r="F120" s="15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35"/>
      <c r="R120" s="144"/>
      <c r="S120" s="144"/>
      <c r="T120" s="144"/>
      <c r="U120" s="135"/>
      <c r="V120" s="135"/>
    </row>
    <row r="121" spans="4:22" ht="24.75" customHeight="1">
      <c r="D121" s="142"/>
      <c r="E121" s="136"/>
      <c r="F121" s="15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35"/>
      <c r="R121" s="144"/>
      <c r="S121" s="144"/>
      <c r="T121" s="144"/>
      <c r="U121" s="135"/>
      <c r="V121" s="135"/>
    </row>
    <row r="122" spans="4:22" ht="24.75" customHeight="1">
      <c r="D122" s="142"/>
      <c r="E122" s="136"/>
      <c r="F122" s="15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35"/>
      <c r="R122" s="144"/>
      <c r="S122" s="144"/>
      <c r="T122" s="144"/>
      <c r="U122" s="135"/>
      <c r="V122" s="135"/>
    </row>
    <row r="123" spans="4:22" ht="24.75" customHeight="1">
      <c r="D123" s="142"/>
      <c r="E123" s="136"/>
      <c r="F123" s="15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35"/>
      <c r="R123" s="144"/>
      <c r="S123" s="144"/>
      <c r="T123" s="144"/>
      <c r="U123" s="135"/>
      <c r="V123" s="135"/>
    </row>
    <row r="124" spans="4:22" ht="24.75" customHeight="1">
      <c r="D124" s="142"/>
      <c r="E124" s="136"/>
      <c r="F124" s="15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35"/>
      <c r="R124" s="144"/>
      <c r="S124" s="144"/>
      <c r="T124" s="144"/>
      <c r="U124" s="135"/>
      <c r="V124" s="135"/>
    </row>
    <row r="125" spans="4:22" ht="24.75" customHeight="1">
      <c r="D125" s="142"/>
      <c r="E125" s="136"/>
      <c r="F125" s="15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35"/>
      <c r="R125" s="144"/>
      <c r="S125" s="144"/>
      <c r="T125" s="144"/>
      <c r="U125" s="135"/>
      <c r="V125" s="135"/>
    </row>
    <row r="126" spans="4:22" ht="24.75" customHeight="1">
      <c r="D126" s="142"/>
      <c r="E126" s="136"/>
      <c r="F126" s="15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35"/>
      <c r="R126" s="144"/>
      <c r="S126" s="144"/>
      <c r="T126" s="144"/>
      <c r="U126" s="135"/>
      <c r="V126" s="135"/>
    </row>
    <row r="127" spans="4:22" ht="24.75" customHeight="1">
      <c r="D127" s="142"/>
      <c r="E127" s="136"/>
      <c r="F127" s="15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35"/>
      <c r="R127" s="144"/>
      <c r="S127" s="144"/>
      <c r="T127" s="144"/>
      <c r="U127" s="135"/>
      <c r="V127" s="135"/>
    </row>
    <row r="128" spans="4:22" ht="24.75" customHeight="1">
      <c r="D128" s="142"/>
      <c r="E128" s="136"/>
      <c r="F128" s="15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35"/>
      <c r="R128" s="144"/>
      <c r="S128" s="144"/>
      <c r="T128" s="144"/>
      <c r="U128" s="135"/>
      <c r="V128" s="135"/>
    </row>
    <row r="129" spans="4:22" ht="24.75" customHeight="1">
      <c r="D129" s="142"/>
      <c r="E129" s="136"/>
      <c r="F129" s="15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35"/>
      <c r="R129" s="144"/>
      <c r="S129" s="144"/>
      <c r="T129" s="144"/>
      <c r="U129" s="135"/>
      <c r="V129" s="135"/>
    </row>
    <row r="130" spans="4:22" ht="24.75" customHeight="1">
      <c r="D130" s="142"/>
      <c r="E130" s="136"/>
      <c r="F130" s="15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35"/>
      <c r="R130" s="144"/>
      <c r="S130" s="144"/>
      <c r="T130" s="144"/>
      <c r="U130" s="135"/>
      <c r="V130" s="135"/>
    </row>
    <row r="131" spans="4:22" ht="24.75" customHeight="1">
      <c r="D131" s="142"/>
      <c r="E131" s="136"/>
      <c r="F131" s="15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35"/>
      <c r="R131" s="144"/>
      <c r="S131" s="144"/>
      <c r="T131" s="144"/>
      <c r="U131" s="135"/>
      <c r="V131" s="135"/>
    </row>
    <row r="132" spans="4:22" ht="24.75" customHeight="1">
      <c r="D132" s="142"/>
      <c r="E132" s="136"/>
      <c r="F132" s="15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35"/>
      <c r="R132" s="144"/>
      <c r="S132" s="144"/>
      <c r="T132" s="144"/>
      <c r="U132" s="135"/>
      <c r="V132" s="135"/>
    </row>
    <row r="133" spans="4:22" ht="24.75" customHeight="1">
      <c r="D133" s="142"/>
      <c r="E133" s="136"/>
      <c r="F133" s="15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35"/>
      <c r="R133" s="144"/>
      <c r="S133" s="144"/>
      <c r="T133" s="144"/>
      <c r="U133" s="135"/>
      <c r="V133" s="135"/>
    </row>
    <row r="134" spans="4:22" ht="24.75" customHeight="1">
      <c r="D134" s="142"/>
      <c r="E134" s="136"/>
      <c r="F134" s="15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35"/>
      <c r="R134" s="144"/>
      <c r="S134" s="144"/>
      <c r="T134" s="144"/>
      <c r="U134" s="135"/>
      <c r="V134" s="135"/>
    </row>
    <row r="135" spans="4:22" ht="24.75" customHeight="1">
      <c r="D135" s="142"/>
      <c r="E135" s="136"/>
      <c r="F135" s="15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35"/>
      <c r="R135" s="144"/>
      <c r="S135" s="144"/>
      <c r="T135" s="144"/>
      <c r="U135" s="135"/>
      <c r="V135" s="135"/>
    </row>
    <row r="136" spans="4:22" ht="24.75" customHeight="1">
      <c r="D136" s="142"/>
      <c r="E136" s="136"/>
      <c r="F136" s="15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35"/>
      <c r="R136" s="144"/>
      <c r="S136" s="144"/>
      <c r="T136" s="144"/>
      <c r="U136" s="135"/>
      <c r="V136" s="135"/>
    </row>
    <row r="137" spans="4:22" ht="24.75" customHeight="1">
      <c r="D137" s="142"/>
      <c r="E137" s="136"/>
      <c r="F137" s="15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35"/>
      <c r="R137" s="144"/>
      <c r="S137" s="144"/>
      <c r="T137" s="144"/>
      <c r="U137" s="135"/>
      <c r="V137" s="135"/>
    </row>
    <row r="138" spans="4:22" ht="24.75" customHeight="1">
      <c r="D138" s="142"/>
      <c r="E138" s="136"/>
      <c r="F138" s="15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35"/>
      <c r="R138" s="144"/>
      <c r="S138" s="144"/>
      <c r="T138" s="144"/>
      <c r="U138" s="135"/>
      <c r="V138" s="135"/>
    </row>
    <row r="139" spans="4:22" ht="24.75" customHeight="1">
      <c r="D139" s="142"/>
      <c r="E139" s="136"/>
      <c r="F139" s="15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35"/>
      <c r="R139" s="144"/>
      <c r="S139" s="144"/>
      <c r="T139" s="144"/>
      <c r="U139" s="135"/>
      <c r="V139" s="135"/>
    </row>
    <row r="140" spans="4:22" ht="24.75" customHeight="1">
      <c r="D140" s="142"/>
      <c r="E140" s="136"/>
      <c r="F140" s="15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35"/>
      <c r="R140" s="144"/>
      <c r="S140" s="144"/>
      <c r="T140" s="144"/>
      <c r="U140" s="135"/>
      <c r="V140" s="135"/>
    </row>
    <row r="141" spans="4:22" ht="24.75" customHeight="1">
      <c r="D141" s="142"/>
      <c r="E141" s="136"/>
      <c r="F141" s="15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35"/>
      <c r="R141" s="144"/>
      <c r="S141" s="144"/>
      <c r="T141" s="144"/>
      <c r="U141" s="135"/>
      <c r="V141" s="135"/>
    </row>
    <row r="142" spans="4:22" ht="24.75" customHeight="1">
      <c r="D142" s="142"/>
      <c r="E142" s="136"/>
      <c r="F142" s="15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35"/>
      <c r="R142" s="144"/>
      <c r="S142" s="144"/>
      <c r="T142" s="144"/>
      <c r="U142" s="135"/>
      <c r="V142" s="135"/>
    </row>
    <row r="143" spans="4:22" ht="24.75" customHeight="1">
      <c r="D143" s="142"/>
      <c r="E143" s="136"/>
      <c r="F143" s="15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35"/>
      <c r="R143" s="144"/>
      <c r="S143" s="144"/>
      <c r="T143" s="144"/>
      <c r="U143" s="135"/>
      <c r="V143" s="135"/>
    </row>
    <row r="144" spans="4:22" ht="24.75" customHeight="1">
      <c r="D144" s="142"/>
      <c r="E144" s="136"/>
      <c r="F144" s="15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35"/>
      <c r="R144" s="144"/>
      <c r="S144" s="144"/>
      <c r="T144" s="144"/>
      <c r="U144" s="135"/>
      <c r="V144" s="135"/>
    </row>
    <row r="145" spans="4:22" ht="24.75" customHeight="1">
      <c r="D145" s="142"/>
      <c r="E145" s="136"/>
      <c r="F145" s="15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35"/>
      <c r="R145" s="144"/>
      <c r="S145" s="144"/>
      <c r="T145" s="144"/>
      <c r="U145" s="135"/>
      <c r="V145" s="135"/>
    </row>
    <row r="146" spans="4:22" ht="24.75" customHeight="1">
      <c r="D146" s="142"/>
      <c r="E146" s="136"/>
      <c r="F146" s="15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35"/>
      <c r="R146" s="144"/>
      <c r="S146" s="144"/>
      <c r="T146" s="144"/>
      <c r="U146" s="135"/>
      <c r="V146" s="135"/>
    </row>
    <row r="147" spans="4:22" ht="24.75" customHeight="1">
      <c r="D147" s="142"/>
      <c r="E147" s="136"/>
      <c r="F147" s="15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35"/>
      <c r="R147" s="144"/>
      <c r="S147" s="144"/>
      <c r="T147" s="144"/>
      <c r="U147" s="135"/>
      <c r="V147" s="135"/>
    </row>
    <row r="148" spans="4:22" ht="24.75" customHeight="1">
      <c r="D148" s="142"/>
      <c r="E148" s="136"/>
      <c r="F148" s="15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35"/>
      <c r="R148" s="144"/>
      <c r="S148" s="144"/>
      <c r="T148" s="144"/>
      <c r="U148" s="135"/>
      <c r="V148" s="135"/>
    </row>
    <row r="149" spans="4:22" ht="24.75" customHeight="1">
      <c r="D149" s="142"/>
      <c r="E149" s="136"/>
      <c r="F149" s="15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35"/>
      <c r="R149" s="144"/>
      <c r="S149" s="144"/>
      <c r="T149" s="144"/>
      <c r="U149" s="135"/>
      <c r="V149" s="135"/>
    </row>
    <row r="150" spans="4:22" ht="24.75" customHeight="1">
      <c r="D150" s="142"/>
      <c r="E150" s="136"/>
      <c r="F150" s="15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35"/>
      <c r="R150" s="144"/>
      <c r="S150" s="144"/>
      <c r="T150" s="144"/>
      <c r="U150" s="135"/>
      <c r="V150" s="135"/>
    </row>
    <row r="151" spans="4:22" ht="24.75" customHeight="1">
      <c r="D151" s="142"/>
      <c r="E151" s="136"/>
      <c r="F151" s="15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35"/>
      <c r="R151" s="144"/>
      <c r="S151" s="144"/>
      <c r="T151" s="144"/>
      <c r="U151" s="135"/>
      <c r="V151" s="135"/>
    </row>
    <row r="152" spans="4:22" ht="24.75" customHeight="1">
      <c r="D152" s="142"/>
      <c r="E152" s="136"/>
      <c r="F152" s="15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35"/>
      <c r="R152" s="144"/>
      <c r="S152" s="144"/>
      <c r="T152" s="144"/>
      <c r="U152" s="135"/>
      <c r="V152" s="135"/>
    </row>
    <row r="153" spans="4:22" ht="24.75" customHeight="1">
      <c r="D153" s="142"/>
      <c r="E153" s="136"/>
      <c r="F153" s="15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35"/>
      <c r="R153" s="144"/>
      <c r="S153" s="144"/>
      <c r="T153" s="144"/>
      <c r="U153" s="135"/>
      <c r="V153" s="135"/>
    </row>
    <row r="154" spans="4:22" ht="24.75" customHeight="1">
      <c r="D154" s="142"/>
      <c r="E154" s="136"/>
      <c r="F154" s="15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35"/>
      <c r="R154" s="144"/>
      <c r="S154" s="144"/>
      <c r="T154" s="144"/>
      <c r="U154" s="135"/>
      <c r="V154" s="135"/>
    </row>
    <row r="155" spans="4:22" ht="24.75" customHeight="1">
      <c r="D155" s="142"/>
      <c r="E155" s="136"/>
      <c r="F155" s="15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35"/>
      <c r="R155" s="144"/>
      <c r="S155" s="144"/>
      <c r="T155" s="144"/>
      <c r="U155" s="135"/>
      <c r="V155" s="135"/>
    </row>
    <row r="156" spans="4:22" ht="24.75" customHeight="1">
      <c r="D156" s="142"/>
      <c r="E156" s="136"/>
      <c r="F156" s="15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35"/>
      <c r="R156" s="144"/>
      <c r="S156" s="144"/>
      <c r="T156" s="144"/>
      <c r="U156" s="135"/>
      <c r="V156" s="135"/>
    </row>
    <row r="157" spans="4:22" ht="24.75" customHeight="1">
      <c r="D157" s="142"/>
      <c r="E157" s="136"/>
      <c r="F157" s="15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35"/>
      <c r="R157" s="144"/>
      <c r="S157" s="144"/>
      <c r="T157" s="144"/>
      <c r="U157" s="135"/>
      <c r="V157" s="135"/>
    </row>
    <row r="158" spans="4:22" ht="24.75" customHeight="1">
      <c r="D158" s="142"/>
      <c r="E158" s="136"/>
      <c r="F158" s="15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35"/>
      <c r="R158" s="144"/>
      <c r="S158" s="144"/>
      <c r="T158" s="144"/>
      <c r="U158" s="135"/>
      <c r="V158" s="135"/>
    </row>
    <row r="159" spans="4:22" ht="24.75" customHeight="1">
      <c r="D159" s="142"/>
      <c r="E159" s="136"/>
      <c r="F159" s="15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35"/>
      <c r="R159" s="144"/>
      <c r="S159" s="144"/>
      <c r="T159" s="144"/>
      <c r="U159" s="135"/>
      <c r="V159" s="135"/>
    </row>
    <row r="160" spans="4:22" ht="24.75" customHeight="1">
      <c r="D160" s="142"/>
      <c r="E160" s="136"/>
      <c r="F160" s="15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35"/>
      <c r="R160" s="144"/>
      <c r="S160" s="144"/>
      <c r="T160" s="144"/>
      <c r="U160" s="135"/>
      <c r="V160" s="135"/>
    </row>
    <row r="161" spans="4:22" ht="24.75" customHeight="1">
      <c r="D161" s="142"/>
      <c r="E161" s="136"/>
      <c r="F161" s="15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35"/>
      <c r="R161" s="144"/>
      <c r="S161" s="144"/>
      <c r="T161" s="144"/>
      <c r="U161" s="135"/>
      <c r="V161" s="135"/>
    </row>
    <row r="162" spans="4:22" ht="24.75" customHeight="1">
      <c r="D162" s="142"/>
      <c r="E162" s="136"/>
      <c r="F162" s="15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35"/>
      <c r="R162" s="144"/>
      <c r="S162" s="144"/>
      <c r="T162" s="144"/>
      <c r="U162" s="135"/>
      <c r="V162" s="135"/>
    </row>
    <row r="163" spans="4:22" ht="24.75" customHeight="1">
      <c r="D163" s="142"/>
      <c r="E163" s="136"/>
      <c r="F163" s="15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35"/>
      <c r="R163" s="144"/>
      <c r="S163" s="144"/>
      <c r="T163" s="144"/>
      <c r="U163" s="135"/>
      <c r="V163" s="135"/>
    </row>
    <row r="164" spans="4:22" ht="24.75" customHeight="1">
      <c r="D164" s="142"/>
      <c r="E164" s="136"/>
      <c r="F164" s="15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35"/>
      <c r="R164" s="144"/>
      <c r="S164" s="144"/>
      <c r="T164" s="144"/>
      <c r="U164" s="135"/>
      <c r="V164" s="135"/>
    </row>
    <row r="165" spans="4:22" ht="24.75" customHeight="1">
      <c r="D165" s="142"/>
      <c r="E165" s="136"/>
      <c r="F165" s="15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35"/>
      <c r="R165" s="144"/>
      <c r="S165" s="144"/>
      <c r="T165" s="144"/>
      <c r="U165" s="135"/>
      <c r="V165" s="135"/>
    </row>
    <row r="166" spans="4:22" ht="24.75" customHeight="1">
      <c r="D166" s="142"/>
      <c r="E166" s="136"/>
      <c r="F166" s="15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35"/>
      <c r="R166" s="144"/>
      <c r="S166" s="144"/>
      <c r="T166" s="144"/>
      <c r="U166" s="135"/>
      <c r="V166" s="135"/>
    </row>
    <row r="167" spans="4:22" ht="24.75" customHeight="1">
      <c r="D167" s="142"/>
      <c r="E167" s="136"/>
      <c r="F167" s="15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35"/>
      <c r="R167" s="144"/>
      <c r="S167" s="144"/>
      <c r="T167" s="144"/>
      <c r="U167" s="135"/>
      <c r="V167" s="135"/>
    </row>
    <row r="168" spans="4:22" ht="24.75" customHeight="1">
      <c r="D168" s="142"/>
      <c r="E168" s="136"/>
      <c r="F168" s="15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35"/>
      <c r="R168" s="144"/>
      <c r="S168" s="144"/>
      <c r="T168" s="144"/>
      <c r="U168" s="135"/>
      <c r="V168" s="135"/>
    </row>
    <row r="169" spans="4:22" ht="24.75" customHeight="1">
      <c r="D169" s="142"/>
      <c r="E169" s="136"/>
      <c r="F169" s="15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35"/>
      <c r="R169" s="144"/>
      <c r="S169" s="144"/>
      <c r="T169" s="144"/>
      <c r="U169" s="135"/>
      <c r="V169" s="135"/>
    </row>
    <row r="170" spans="4:22" ht="24.75" customHeight="1">
      <c r="D170" s="142"/>
      <c r="E170" s="136"/>
      <c r="F170" s="15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35"/>
      <c r="R170" s="144"/>
      <c r="S170" s="144"/>
      <c r="T170" s="144"/>
      <c r="U170" s="135"/>
      <c r="V170" s="135"/>
    </row>
    <row r="171" spans="4:22" ht="24.75" customHeight="1">
      <c r="D171" s="142"/>
      <c r="E171" s="136"/>
      <c r="F171" s="15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35"/>
      <c r="R171" s="144"/>
      <c r="S171" s="144"/>
      <c r="T171" s="144"/>
      <c r="U171" s="135"/>
      <c r="V171" s="135"/>
    </row>
    <row r="172" spans="4:22" ht="24.75" customHeight="1">
      <c r="D172" s="142"/>
      <c r="E172" s="136"/>
      <c r="F172" s="15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35"/>
      <c r="R172" s="144"/>
      <c r="S172" s="144"/>
      <c r="T172" s="144"/>
      <c r="U172" s="135"/>
      <c r="V172" s="135"/>
    </row>
    <row r="173" spans="4:22" ht="24.75" customHeight="1">
      <c r="D173" s="142"/>
      <c r="E173" s="136"/>
      <c r="F173" s="15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35"/>
      <c r="R173" s="144"/>
      <c r="S173" s="144"/>
      <c r="T173" s="144"/>
      <c r="U173" s="135"/>
      <c r="V173" s="135"/>
    </row>
    <row r="174" spans="4:22" ht="24.75" customHeight="1">
      <c r="D174" s="142"/>
      <c r="E174" s="136"/>
      <c r="F174" s="15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35"/>
      <c r="R174" s="144"/>
      <c r="S174" s="144"/>
      <c r="T174" s="144"/>
      <c r="U174" s="135"/>
      <c r="V174" s="135"/>
    </row>
    <row r="175" spans="4:22" ht="24.75" customHeight="1">
      <c r="D175" s="142"/>
      <c r="E175" s="136"/>
      <c r="F175" s="15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35"/>
      <c r="R175" s="144"/>
      <c r="S175" s="144"/>
      <c r="T175" s="144"/>
      <c r="U175" s="135"/>
      <c r="V175" s="135"/>
    </row>
    <row r="176" spans="4:22" ht="24.75" customHeight="1">
      <c r="D176" s="142"/>
      <c r="E176" s="136"/>
      <c r="F176" s="15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35"/>
      <c r="R176" s="144"/>
      <c r="S176" s="144"/>
      <c r="T176" s="144"/>
      <c r="U176" s="135"/>
      <c r="V176" s="135"/>
    </row>
    <row r="177" spans="4:22" ht="24.75" customHeight="1">
      <c r="D177" s="142"/>
      <c r="E177" s="136"/>
      <c r="F177" s="15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35"/>
      <c r="R177" s="144"/>
      <c r="S177" s="144"/>
      <c r="T177" s="144"/>
      <c r="U177" s="135"/>
      <c r="V177" s="135"/>
    </row>
    <row r="178" spans="4:22" ht="24.75" customHeight="1">
      <c r="D178" s="142"/>
      <c r="E178" s="136"/>
      <c r="F178" s="15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35"/>
      <c r="R178" s="144"/>
      <c r="S178" s="144"/>
      <c r="T178" s="144"/>
      <c r="U178" s="135"/>
      <c r="V178" s="135"/>
    </row>
    <row r="179" spans="4:22" ht="24.75" customHeight="1">
      <c r="D179" s="142"/>
      <c r="E179" s="136"/>
      <c r="F179" s="15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35"/>
      <c r="R179" s="144"/>
      <c r="S179" s="144"/>
      <c r="T179" s="144"/>
      <c r="U179" s="135"/>
      <c r="V179" s="135"/>
    </row>
    <row r="180" spans="4:22" ht="24.75" customHeight="1">
      <c r="D180" s="142"/>
      <c r="E180" s="136"/>
      <c r="F180" s="15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35"/>
      <c r="R180" s="144"/>
      <c r="S180" s="144"/>
      <c r="T180" s="144"/>
      <c r="U180" s="135"/>
      <c r="V180" s="135"/>
    </row>
    <row r="181" spans="4:22" ht="24.75" customHeight="1">
      <c r="D181" s="142"/>
      <c r="E181" s="136"/>
      <c r="F181" s="15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35"/>
      <c r="R181" s="144"/>
      <c r="S181" s="144"/>
      <c r="T181" s="144"/>
      <c r="U181" s="135"/>
      <c r="V181" s="135"/>
    </row>
    <row r="182" spans="4:22" ht="24.75" customHeight="1">
      <c r="D182" s="142"/>
      <c r="E182" s="136"/>
      <c r="F182" s="15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35"/>
      <c r="R182" s="144"/>
      <c r="S182" s="144"/>
      <c r="T182" s="144"/>
      <c r="U182" s="135"/>
      <c r="V182" s="135"/>
    </row>
    <row r="183" spans="4:22" ht="24.75" customHeight="1">
      <c r="D183" s="142"/>
      <c r="E183" s="136"/>
      <c r="F183" s="15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35"/>
      <c r="R183" s="144"/>
      <c r="S183" s="144"/>
      <c r="T183" s="144"/>
      <c r="U183" s="135"/>
      <c r="V183" s="135"/>
    </row>
    <row r="184" spans="4:22" ht="24.75" customHeight="1">
      <c r="D184" s="142"/>
      <c r="E184" s="136"/>
      <c r="F184" s="15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35"/>
      <c r="R184" s="144"/>
      <c r="S184" s="144"/>
      <c r="T184" s="144"/>
      <c r="U184" s="135"/>
      <c r="V184" s="135"/>
    </row>
    <row r="185" spans="4:22" ht="24.75" customHeight="1">
      <c r="D185" s="142"/>
      <c r="E185" s="136"/>
      <c r="F185" s="15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35"/>
      <c r="R185" s="144"/>
      <c r="S185" s="144"/>
      <c r="T185" s="144"/>
      <c r="U185" s="135"/>
      <c r="V185" s="135"/>
    </row>
    <row r="186" spans="4:22" ht="24.75" customHeight="1">
      <c r="D186" s="142"/>
      <c r="E186" s="136"/>
      <c r="F186" s="15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35"/>
      <c r="R186" s="144"/>
      <c r="S186" s="144"/>
      <c r="T186" s="144"/>
      <c r="U186" s="135"/>
      <c r="V186" s="135"/>
    </row>
    <row r="187" spans="4:22" ht="24.75" customHeight="1">
      <c r="D187" s="142"/>
      <c r="E187" s="136"/>
      <c r="F187" s="15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35"/>
      <c r="R187" s="144"/>
      <c r="S187" s="144"/>
      <c r="T187" s="144"/>
      <c r="U187" s="135"/>
      <c r="V187" s="135"/>
    </row>
    <row r="188" spans="4:22" ht="24.75" customHeight="1">
      <c r="D188" s="142"/>
      <c r="E188" s="136"/>
      <c r="F188" s="15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35"/>
      <c r="R188" s="144"/>
      <c r="S188" s="144"/>
      <c r="T188" s="144"/>
      <c r="U188" s="135"/>
      <c r="V188" s="135"/>
    </row>
    <row r="189" spans="4:22" ht="24.75" customHeight="1">
      <c r="D189" s="142"/>
      <c r="E189" s="136"/>
      <c r="F189" s="15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35"/>
      <c r="R189" s="144"/>
      <c r="S189" s="144"/>
      <c r="T189" s="144"/>
      <c r="U189" s="135"/>
      <c r="V189" s="135"/>
    </row>
    <row r="190" spans="4:22" ht="24.75" customHeight="1">
      <c r="D190" s="142"/>
      <c r="E190" s="136"/>
      <c r="F190" s="15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35"/>
      <c r="R190" s="144"/>
      <c r="S190" s="144"/>
      <c r="T190" s="144"/>
      <c r="U190" s="135"/>
      <c r="V190" s="135"/>
    </row>
    <row r="191" spans="4:22" ht="24.75" customHeight="1">
      <c r="D191" s="142"/>
      <c r="E191" s="136"/>
      <c r="F191" s="15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35"/>
      <c r="R191" s="144"/>
      <c r="S191" s="144"/>
      <c r="T191" s="144"/>
      <c r="U191" s="135"/>
      <c r="V191" s="135"/>
    </row>
    <row r="192" spans="4:22" ht="24.75" customHeight="1">
      <c r="D192" s="142"/>
      <c r="E192" s="136"/>
      <c r="F192" s="15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35"/>
      <c r="R192" s="144"/>
      <c r="S192" s="144"/>
      <c r="T192" s="144"/>
      <c r="U192" s="135"/>
      <c r="V192" s="135"/>
    </row>
    <row r="193" spans="4:22" ht="24.75" customHeight="1">
      <c r="D193" s="142"/>
      <c r="E193" s="136"/>
      <c r="F193" s="15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35"/>
      <c r="R193" s="144"/>
      <c r="S193" s="144"/>
      <c r="T193" s="144"/>
      <c r="U193" s="135"/>
      <c r="V193" s="135"/>
    </row>
    <row r="194" spans="4:22" ht="24.75" customHeight="1">
      <c r="D194" s="142"/>
      <c r="E194" s="136"/>
      <c r="F194" s="15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35"/>
      <c r="R194" s="144"/>
      <c r="S194" s="144"/>
      <c r="T194" s="144"/>
      <c r="U194" s="135"/>
      <c r="V194" s="135"/>
    </row>
    <row r="195" spans="4:22" ht="24.75" customHeight="1">
      <c r="D195" s="142"/>
      <c r="E195" s="136"/>
      <c r="F195" s="15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35"/>
      <c r="R195" s="144"/>
      <c r="S195" s="144"/>
      <c r="T195" s="144"/>
      <c r="U195" s="135"/>
      <c r="V195" s="135"/>
    </row>
    <row r="196" spans="4:22" ht="24.75" customHeight="1">
      <c r="D196" s="142"/>
      <c r="E196" s="136"/>
      <c r="F196" s="15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35"/>
      <c r="R196" s="144"/>
      <c r="S196" s="144"/>
      <c r="T196" s="144"/>
      <c r="U196" s="135"/>
      <c r="V196" s="135"/>
    </row>
    <row r="197" spans="4:22" ht="24.75" customHeight="1">
      <c r="D197" s="142"/>
      <c r="E197" s="136"/>
      <c r="F197" s="15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35"/>
      <c r="R197" s="144"/>
      <c r="S197" s="144"/>
      <c r="T197" s="144"/>
      <c r="U197" s="135"/>
      <c r="V197" s="135"/>
    </row>
    <row r="198" spans="4:22" ht="24.75" customHeight="1">
      <c r="D198" s="142"/>
      <c r="E198" s="136"/>
      <c r="F198" s="15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35"/>
      <c r="R198" s="144"/>
      <c r="S198" s="144"/>
      <c r="T198" s="144"/>
      <c r="U198" s="135"/>
      <c r="V198" s="135"/>
    </row>
    <row r="199" spans="4:22" ht="24.75" customHeight="1">
      <c r="D199" s="142"/>
      <c r="E199" s="136"/>
      <c r="F199" s="15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35"/>
      <c r="R199" s="144"/>
      <c r="S199" s="144"/>
      <c r="T199" s="144"/>
      <c r="U199" s="135"/>
      <c r="V199" s="135"/>
    </row>
    <row r="200" spans="4:22" ht="24.75" customHeight="1">
      <c r="D200" s="142"/>
      <c r="E200" s="136"/>
      <c r="F200" s="15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35"/>
      <c r="R200" s="144"/>
      <c r="S200" s="144"/>
      <c r="T200" s="144"/>
      <c r="U200" s="135"/>
      <c r="V200" s="135"/>
    </row>
    <row r="201" spans="4:22" ht="24.75" customHeight="1">
      <c r="D201" s="142"/>
      <c r="E201" s="136"/>
      <c r="F201" s="15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35"/>
      <c r="R201" s="144"/>
      <c r="S201" s="144"/>
      <c r="T201" s="144"/>
      <c r="U201" s="135"/>
      <c r="V201" s="135"/>
    </row>
    <row r="202" spans="4:22" ht="24.75" customHeight="1">
      <c r="D202" s="142"/>
      <c r="E202" s="136"/>
      <c r="F202" s="15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35"/>
      <c r="R202" s="144"/>
      <c r="S202" s="144"/>
      <c r="T202" s="144"/>
      <c r="U202" s="135"/>
      <c r="V202" s="135"/>
    </row>
    <row r="203" spans="4:22" ht="24.75" customHeight="1">
      <c r="D203" s="142"/>
      <c r="E203" s="136"/>
      <c r="F203" s="15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35"/>
      <c r="R203" s="144"/>
      <c r="S203" s="144"/>
      <c r="T203" s="144"/>
      <c r="U203" s="135"/>
      <c r="V203" s="135"/>
    </row>
    <row r="204" spans="4:22" ht="24.75" customHeight="1">
      <c r="D204" s="142"/>
      <c r="E204" s="136"/>
      <c r="F204" s="15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35"/>
      <c r="R204" s="144"/>
      <c r="S204" s="144"/>
      <c r="T204" s="144"/>
      <c r="U204" s="135"/>
      <c r="V204" s="135"/>
    </row>
    <row r="205" spans="4:22" ht="24.75" customHeight="1">
      <c r="D205" s="142"/>
      <c r="E205" s="136"/>
      <c r="F205" s="15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35"/>
      <c r="R205" s="144"/>
      <c r="S205" s="144"/>
      <c r="T205" s="144"/>
      <c r="U205" s="135"/>
      <c r="V205" s="135"/>
    </row>
    <row r="206" spans="4:22" ht="24.75" customHeight="1">
      <c r="D206" s="142"/>
      <c r="E206" s="136"/>
      <c r="F206" s="15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35"/>
      <c r="R206" s="144"/>
      <c r="S206" s="144"/>
      <c r="T206" s="144"/>
      <c r="U206" s="135"/>
      <c r="V206" s="135"/>
    </row>
    <row r="207" spans="4:22" ht="24.75" customHeight="1">
      <c r="D207" s="142"/>
      <c r="E207" s="136"/>
      <c r="F207" s="15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35"/>
      <c r="R207" s="144"/>
      <c r="S207" s="144"/>
      <c r="T207" s="144"/>
      <c r="U207" s="135"/>
      <c r="V207" s="135"/>
    </row>
    <row r="208" spans="4:22" ht="24.75" customHeight="1">
      <c r="D208" s="142"/>
      <c r="E208" s="136"/>
      <c r="F208" s="15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35"/>
      <c r="R208" s="144"/>
      <c r="S208" s="144"/>
      <c r="T208" s="144"/>
      <c r="U208" s="135"/>
      <c r="V208" s="135"/>
    </row>
    <row r="209" spans="4:22" ht="24.75" customHeight="1">
      <c r="D209" s="142"/>
      <c r="E209" s="136"/>
      <c r="F209" s="15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35"/>
      <c r="R209" s="144"/>
      <c r="S209" s="144"/>
      <c r="T209" s="144"/>
      <c r="U209" s="135"/>
      <c r="V209" s="135"/>
    </row>
    <row r="210" spans="4:22" ht="24.75" customHeight="1">
      <c r="D210" s="142"/>
      <c r="E210" s="136"/>
      <c r="F210" s="15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35"/>
      <c r="R210" s="144"/>
      <c r="S210" s="144"/>
      <c r="T210" s="144"/>
      <c r="U210" s="135"/>
      <c r="V210" s="135"/>
    </row>
    <row r="211" spans="4:22" ht="24.75" customHeight="1">
      <c r="D211" s="142"/>
      <c r="E211" s="136"/>
      <c r="F211" s="15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35"/>
      <c r="R211" s="144"/>
      <c r="S211" s="144"/>
      <c r="T211" s="144"/>
      <c r="U211" s="135"/>
      <c r="V211" s="135"/>
    </row>
    <row r="212" spans="4:22" ht="24.75" customHeight="1">
      <c r="D212" s="142"/>
      <c r="E212" s="136"/>
      <c r="F212" s="15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35"/>
      <c r="R212" s="144"/>
      <c r="S212" s="144"/>
      <c r="T212" s="144"/>
      <c r="U212" s="135"/>
      <c r="V212" s="135"/>
    </row>
    <row r="213" spans="4:22" ht="24.75" customHeight="1">
      <c r="D213" s="142"/>
      <c r="E213" s="136"/>
      <c r="F213" s="15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35"/>
      <c r="R213" s="144"/>
      <c r="S213" s="144"/>
      <c r="T213" s="144"/>
      <c r="U213" s="135"/>
      <c r="V213" s="135"/>
    </row>
    <row r="214" spans="4:22" ht="24.75" customHeight="1">
      <c r="D214" s="142"/>
      <c r="E214" s="136"/>
      <c r="F214" s="15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35"/>
      <c r="R214" s="144"/>
      <c r="S214" s="144"/>
      <c r="T214" s="144"/>
      <c r="U214" s="135"/>
      <c r="V214" s="135"/>
    </row>
    <row r="215" spans="4:22" ht="24.75" customHeight="1">
      <c r="D215" s="142"/>
      <c r="E215" s="136"/>
      <c r="F215" s="15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35"/>
      <c r="R215" s="144"/>
      <c r="S215" s="144"/>
      <c r="T215" s="144"/>
      <c r="U215" s="135"/>
      <c r="V215" s="135"/>
    </row>
    <row r="216" spans="4:22" ht="24.75" customHeight="1">
      <c r="D216" s="142"/>
      <c r="E216" s="136"/>
      <c r="F216" s="15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35"/>
      <c r="R216" s="144"/>
      <c r="S216" s="144"/>
      <c r="T216" s="144"/>
      <c r="U216" s="135"/>
      <c r="V216" s="135"/>
    </row>
    <row r="217" spans="4:22" ht="24.75" customHeight="1">
      <c r="D217" s="142"/>
      <c r="E217" s="136"/>
      <c r="F217" s="15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35"/>
      <c r="R217" s="144"/>
      <c r="S217" s="144"/>
      <c r="T217" s="144"/>
      <c r="U217" s="135"/>
      <c r="V217" s="135"/>
    </row>
    <row r="218" spans="4:22" ht="24.75" customHeight="1">
      <c r="D218" s="142"/>
      <c r="E218" s="136"/>
      <c r="F218" s="15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35"/>
      <c r="R218" s="144"/>
      <c r="S218" s="144"/>
      <c r="T218" s="144"/>
      <c r="U218" s="135"/>
      <c r="V218" s="135"/>
    </row>
    <row r="219" spans="4:22" ht="24.75" customHeight="1">
      <c r="D219" s="142"/>
      <c r="E219" s="136"/>
      <c r="F219" s="15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35"/>
      <c r="R219" s="144"/>
      <c r="S219" s="144"/>
      <c r="T219" s="144"/>
      <c r="U219" s="135"/>
      <c r="V219" s="135"/>
    </row>
    <row r="220" spans="4:22" ht="24.75" customHeight="1">
      <c r="D220" s="142"/>
      <c r="E220" s="136"/>
      <c r="F220" s="15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35"/>
      <c r="R220" s="144"/>
      <c r="S220" s="144"/>
      <c r="T220" s="144"/>
      <c r="U220" s="135"/>
      <c r="V220" s="135"/>
    </row>
    <row r="221" spans="4:22" ht="24.75" customHeight="1">
      <c r="D221" s="142"/>
      <c r="E221" s="136"/>
      <c r="F221" s="15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35"/>
      <c r="R221" s="144"/>
      <c r="S221" s="144"/>
      <c r="T221" s="144"/>
      <c r="U221" s="135"/>
      <c r="V221" s="135"/>
    </row>
    <row r="222" spans="4:22" ht="24.75" customHeight="1">
      <c r="D222" s="142"/>
      <c r="E222" s="136"/>
      <c r="F222" s="15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35"/>
      <c r="R222" s="144"/>
      <c r="S222" s="144"/>
      <c r="T222" s="144"/>
      <c r="U222" s="135"/>
      <c r="V222" s="135"/>
    </row>
    <row r="223" spans="4:22" ht="24.75" customHeight="1">
      <c r="D223" s="142"/>
      <c r="E223" s="136"/>
      <c r="F223" s="15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35"/>
      <c r="R223" s="144"/>
      <c r="S223" s="144"/>
      <c r="T223" s="144"/>
      <c r="U223" s="135"/>
      <c r="V223" s="135"/>
    </row>
    <row r="224" spans="4:22" ht="24.75" customHeight="1">
      <c r="D224" s="142"/>
      <c r="E224" s="136"/>
      <c r="F224" s="15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35"/>
      <c r="R224" s="144"/>
      <c r="S224" s="144"/>
      <c r="T224" s="144"/>
      <c r="U224" s="135"/>
      <c r="V224" s="135"/>
    </row>
    <row r="225" spans="4:22" ht="24.75" customHeight="1">
      <c r="D225" s="142"/>
      <c r="E225" s="136"/>
      <c r="F225" s="15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35"/>
      <c r="R225" s="144"/>
      <c r="S225" s="144"/>
      <c r="T225" s="144"/>
      <c r="U225" s="135"/>
      <c r="V225" s="135"/>
    </row>
    <row r="226" spans="4:22" ht="24.75" customHeight="1">
      <c r="D226" s="142"/>
      <c r="E226" s="136"/>
      <c r="F226" s="15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35"/>
      <c r="R226" s="144"/>
      <c r="S226" s="144"/>
      <c r="T226" s="144"/>
      <c r="U226" s="135"/>
      <c r="V226" s="135"/>
    </row>
    <row r="227" spans="4:22" ht="24.75" customHeight="1">
      <c r="D227" s="142"/>
      <c r="E227" s="136"/>
      <c r="F227" s="15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35"/>
      <c r="R227" s="144"/>
      <c r="S227" s="144"/>
      <c r="T227" s="144"/>
      <c r="U227" s="135"/>
      <c r="V227" s="135"/>
    </row>
    <row r="228" spans="4:22" ht="24.75" customHeight="1">
      <c r="D228" s="142"/>
      <c r="E228" s="136"/>
      <c r="F228" s="15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35"/>
      <c r="R228" s="144"/>
      <c r="S228" s="144"/>
      <c r="T228" s="144"/>
      <c r="U228" s="135"/>
      <c r="V228" s="135"/>
    </row>
    <row r="229" spans="4:22" ht="24.75" customHeight="1">
      <c r="D229" s="142"/>
      <c r="E229" s="136"/>
      <c r="F229" s="15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35"/>
      <c r="R229" s="144"/>
      <c r="S229" s="144"/>
      <c r="T229" s="144"/>
      <c r="U229" s="135"/>
      <c r="V229" s="135"/>
    </row>
    <row r="230" spans="4:22" ht="24.75" customHeight="1">
      <c r="D230" s="142"/>
      <c r="E230" s="136"/>
      <c r="F230" s="15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35"/>
      <c r="R230" s="144"/>
      <c r="S230" s="144"/>
      <c r="T230" s="144"/>
      <c r="U230" s="135"/>
      <c r="V230" s="135"/>
    </row>
    <row r="231" spans="4:22" ht="24.75" customHeight="1">
      <c r="D231" s="142"/>
      <c r="E231" s="136"/>
      <c r="F231" s="15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35"/>
      <c r="R231" s="144"/>
      <c r="S231" s="144"/>
      <c r="T231" s="144"/>
      <c r="U231" s="135"/>
      <c r="V231" s="135"/>
    </row>
    <row r="232" spans="4:22" ht="24.75" customHeight="1">
      <c r="D232" s="142"/>
      <c r="E232" s="136"/>
      <c r="F232" s="15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35"/>
      <c r="R232" s="144"/>
      <c r="S232" s="144"/>
      <c r="T232" s="144"/>
      <c r="U232" s="135"/>
      <c r="V232" s="135"/>
    </row>
    <row r="233" spans="4:22" ht="24.75" customHeight="1">
      <c r="D233" s="142"/>
      <c r="E233" s="136"/>
      <c r="F233" s="15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35"/>
      <c r="R233" s="144"/>
      <c r="S233" s="144"/>
      <c r="T233" s="144"/>
      <c r="U233" s="135"/>
      <c r="V233" s="135"/>
    </row>
    <row r="234" spans="4:22" ht="24.75" customHeight="1">
      <c r="D234" s="142"/>
      <c r="E234" s="136"/>
      <c r="F234" s="15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35"/>
      <c r="R234" s="144"/>
      <c r="S234" s="144"/>
      <c r="T234" s="144"/>
      <c r="U234" s="135"/>
      <c r="V234" s="135"/>
    </row>
    <row r="235" spans="4:22" ht="24.75" customHeight="1">
      <c r="D235" s="142"/>
      <c r="E235" s="136"/>
      <c r="F235" s="15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35"/>
      <c r="R235" s="144"/>
      <c r="S235" s="144"/>
      <c r="T235" s="144"/>
      <c r="U235" s="135"/>
      <c r="V235" s="135"/>
    </row>
    <row r="236" spans="4:22" ht="24.75" customHeight="1">
      <c r="D236" s="142"/>
      <c r="E236" s="136"/>
      <c r="F236" s="15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35"/>
      <c r="R236" s="144"/>
      <c r="S236" s="144"/>
      <c r="T236" s="144"/>
      <c r="U236" s="135"/>
      <c r="V236" s="135"/>
    </row>
    <row r="237" spans="4:22" ht="24.75" customHeight="1">
      <c r="D237" s="142"/>
      <c r="E237" s="136"/>
      <c r="F237" s="15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35"/>
      <c r="R237" s="144"/>
      <c r="S237" s="144"/>
      <c r="T237" s="144"/>
      <c r="U237" s="135"/>
      <c r="V237" s="135"/>
    </row>
    <row r="238" spans="4:22" ht="24.75" customHeight="1">
      <c r="D238" s="142"/>
      <c r="E238" s="136"/>
      <c r="F238" s="15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35"/>
      <c r="R238" s="144"/>
      <c r="S238" s="144"/>
      <c r="T238" s="144"/>
      <c r="U238" s="135"/>
      <c r="V238" s="135"/>
    </row>
    <row r="239" spans="4:22" ht="24.75" customHeight="1">
      <c r="D239" s="142"/>
      <c r="E239" s="136"/>
      <c r="F239" s="15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35"/>
      <c r="R239" s="144"/>
      <c r="S239" s="144"/>
      <c r="T239" s="144"/>
      <c r="U239" s="135"/>
      <c r="V239" s="135"/>
    </row>
    <row r="240" spans="4:22" ht="24.75" customHeight="1">
      <c r="D240" s="142"/>
      <c r="E240" s="136"/>
      <c r="F240" s="15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35"/>
      <c r="R240" s="144"/>
      <c r="S240" s="144"/>
      <c r="T240" s="144"/>
      <c r="U240" s="135"/>
      <c r="V240" s="135"/>
    </row>
    <row r="241" spans="4:22" ht="24.75" customHeight="1">
      <c r="D241" s="142"/>
      <c r="E241" s="136"/>
      <c r="F241" s="15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35"/>
      <c r="R241" s="144"/>
      <c r="S241" s="144"/>
      <c r="T241" s="144"/>
      <c r="U241" s="135"/>
      <c r="V241" s="135"/>
    </row>
    <row r="242" spans="4:22" ht="24.75" customHeight="1">
      <c r="D242" s="142"/>
      <c r="E242" s="136"/>
      <c r="F242" s="15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35"/>
      <c r="R242" s="144"/>
      <c r="S242" s="144"/>
      <c r="T242" s="144"/>
      <c r="U242" s="135"/>
      <c r="V242" s="135"/>
    </row>
    <row r="243" spans="4:22" ht="24.75" customHeight="1">
      <c r="D243" s="142"/>
      <c r="E243" s="136"/>
      <c r="F243" s="15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35"/>
      <c r="R243" s="144"/>
      <c r="S243" s="144"/>
      <c r="T243" s="144"/>
      <c r="U243" s="135"/>
      <c r="V243" s="135"/>
    </row>
    <row r="244" spans="4:22" ht="24.75" customHeight="1">
      <c r="D244" s="142"/>
      <c r="E244" s="136"/>
      <c r="F244" s="15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35"/>
      <c r="R244" s="144"/>
      <c r="S244" s="144"/>
      <c r="T244" s="144"/>
      <c r="U244" s="135"/>
      <c r="V244" s="135"/>
    </row>
    <row r="245" spans="4:22" ht="24.75" customHeight="1">
      <c r="D245" s="142"/>
      <c r="E245" s="136"/>
      <c r="F245" s="15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35"/>
      <c r="R245" s="144"/>
      <c r="S245" s="144"/>
      <c r="T245" s="144"/>
      <c r="U245" s="135"/>
      <c r="V245" s="135"/>
    </row>
    <row r="246" spans="4:22" ht="24.75" customHeight="1">
      <c r="D246" s="142"/>
      <c r="E246" s="136"/>
      <c r="F246" s="15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35"/>
      <c r="R246" s="144"/>
      <c r="S246" s="144"/>
      <c r="T246" s="144"/>
      <c r="U246" s="135"/>
      <c r="V246" s="135"/>
    </row>
    <row r="247" spans="4:22" ht="24.75" customHeight="1">
      <c r="D247" s="142"/>
      <c r="E247" s="136"/>
      <c r="F247" s="15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35"/>
      <c r="R247" s="144"/>
      <c r="S247" s="144"/>
      <c r="T247" s="144"/>
      <c r="U247" s="135"/>
      <c r="V247" s="135"/>
    </row>
    <row r="248" spans="4:22" ht="24.75" customHeight="1">
      <c r="D248" s="142"/>
      <c r="E248" s="136"/>
      <c r="F248" s="15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35"/>
      <c r="R248" s="144"/>
      <c r="S248" s="144"/>
      <c r="T248" s="144"/>
      <c r="U248" s="135"/>
      <c r="V248" s="135"/>
    </row>
    <row r="249" spans="4:22" ht="24.75" customHeight="1">
      <c r="D249" s="142"/>
      <c r="E249" s="136"/>
      <c r="F249" s="15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35"/>
      <c r="R249" s="144"/>
      <c r="S249" s="144"/>
      <c r="T249" s="144"/>
      <c r="U249" s="135"/>
      <c r="V249" s="135"/>
    </row>
    <row r="250" spans="4:22" ht="24.75" customHeight="1">
      <c r="D250" s="142"/>
      <c r="E250" s="136"/>
      <c r="F250" s="15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35"/>
      <c r="R250" s="144"/>
      <c r="S250" s="144"/>
      <c r="T250" s="144"/>
      <c r="U250" s="135"/>
      <c r="V250" s="135"/>
    </row>
    <row r="251" spans="4:22" ht="24.75" customHeight="1">
      <c r="D251" s="142"/>
      <c r="E251" s="136"/>
      <c r="F251" s="15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35"/>
      <c r="R251" s="144"/>
      <c r="S251" s="144"/>
      <c r="T251" s="144"/>
      <c r="U251" s="135"/>
      <c r="V251" s="135"/>
    </row>
    <row r="252" spans="4:22" ht="24.75" customHeight="1">
      <c r="D252" s="142"/>
      <c r="E252" s="136"/>
      <c r="F252" s="15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35"/>
      <c r="R252" s="144"/>
      <c r="S252" s="144"/>
      <c r="T252" s="144"/>
      <c r="U252" s="135"/>
      <c r="V252" s="135"/>
    </row>
    <row r="253" spans="4:22" ht="24.75" customHeight="1">
      <c r="D253" s="142"/>
      <c r="E253" s="136"/>
      <c r="F253" s="15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35"/>
      <c r="R253" s="144"/>
      <c r="S253" s="144"/>
      <c r="T253" s="144"/>
      <c r="U253" s="135"/>
      <c r="V253" s="135"/>
    </row>
    <row r="254" spans="4:22" ht="24.75" customHeight="1">
      <c r="D254" s="142"/>
      <c r="E254" s="136"/>
      <c r="F254" s="15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35"/>
      <c r="R254" s="144"/>
      <c r="S254" s="144"/>
      <c r="T254" s="144"/>
      <c r="U254" s="135"/>
      <c r="V254" s="135"/>
    </row>
    <row r="255" spans="4:22" ht="24.75" customHeight="1">
      <c r="D255" s="142"/>
      <c r="E255" s="136"/>
      <c r="F255" s="15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35"/>
      <c r="R255" s="144"/>
      <c r="S255" s="144"/>
      <c r="T255" s="144"/>
      <c r="U255" s="135"/>
      <c r="V255" s="135"/>
    </row>
    <row r="256" spans="4:22" ht="24.75" customHeight="1">
      <c r="D256" s="142"/>
      <c r="E256" s="136"/>
      <c r="F256" s="15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35"/>
      <c r="R256" s="144"/>
      <c r="S256" s="144"/>
      <c r="T256" s="144"/>
      <c r="U256" s="135"/>
      <c r="V256" s="135"/>
    </row>
    <row r="257" spans="4:22" ht="24.75" customHeight="1">
      <c r="D257" s="142"/>
      <c r="E257" s="136"/>
      <c r="F257" s="15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35"/>
      <c r="R257" s="144"/>
      <c r="S257" s="144"/>
      <c r="T257" s="144"/>
      <c r="U257" s="135"/>
      <c r="V257" s="135"/>
    </row>
    <row r="258" spans="4:22" ht="24.75" customHeight="1">
      <c r="D258" s="142"/>
      <c r="E258" s="136"/>
      <c r="F258" s="15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35"/>
      <c r="R258" s="144"/>
      <c r="S258" s="144"/>
      <c r="T258" s="144"/>
      <c r="U258" s="135"/>
      <c r="V258" s="135"/>
    </row>
    <row r="259" spans="4:22" ht="24.75" customHeight="1">
      <c r="D259" s="142"/>
      <c r="E259" s="136"/>
      <c r="F259" s="15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35"/>
      <c r="R259" s="144"/>
      <c r="S259" s="144"/>
      <c r="T259" s="144"/>
      <c r="U259" s="135"/>
      <c r="V259" s="135"/>
    </row>
    <row r="260" spans="4:22" ht="24.75" customHeight="1">
      <c r="D260" s="142"/>
      <c r="E260" s="136"/>
      <c r="F260" s="15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35"/>
      <c r="R260" s="144"/>
      <c r="S260" s="144"/>
      <c r="T260" s="144"/>
      <c r="U260" s="135"/>
      <c r="V260" s="135"/>
    </row>
    <row r="261" spans="4:22" ht="24.75" customHeight="1">
      <c r="D261" s="142"/>
      <c r="E261" s="136"/>
      <c r="F261" s="15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35"/>
      <c r="R261" s="144"/>
      <c r="S261" s="144"/>
      <c r="T261" s="144"/>
      <c r="U261" s="135"/>
      <c r="V261" s="135"/>
    </row>
    <row r="262" spans="4:22" ht="24.75" customHeight="1">
      <c r="D262" s="142"/>
      <c r="E262" s="136"/>
      <c r="F262" s="15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35"/>
      <c r="R262" s="144"/>
      <c r="S262" s="144"/>
      <c r="T262" s="144"/>
      <c r="U262" s="135"/>
      <c r="V262" s="135"/>
    </row>
    <row r="263" spans="4:22" ht="24.75" customHeight="1">
      <c r="D263" s="142"/>
      <c r="E263" s="136"/>
      <c r="F263" s="15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35"/>
      <c r="R263" s="144"/>
      <c r="S263" s="144"/>
      <c r="T263" s="144"/>
      <c r="U263" s="135"/>
      <c r="V263" s="135"/>
    </row>
    <row r="264" spans="4:22" ht="24.75" customHeight="1">
      <c r="D264" s="142"/>
      <c r="E264" s="136"/>
      <c r="F264" s="15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35"/>
      <c r="R264" s="144"/>
      <c r="S264" s="144"/>
      <c r="T264" s="144"/>
      <c r="U264" s="135"/>
      <c r="V264" s="135"/>
    </row>
    <row r="265" spans="4:22" ht="24.75" customHeight="1">
      <c r="D265" s="142"/>
      <c r="E265" s="136"/>
      <c r="F265" s="15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35"/>
      <c r="R265" s="144"/>
      <c r="S265" s="144"/>
      <c r="T265" s="144"/>
      <c r="U265" s="135"/>
      <c r="V265" s="135"/>
    </row>
    <row r="266" spans="4:22" ht="24.75" customHeight="1">
      <c r="D266" s="142"/>
      <c r="E266" s="136"/>
      <c r="F266" s="15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35"/>
      <c r="R266" s="144"/>
      <c r="S266" s="144"/>
      <c r="T266" s="144"/>
      <c r="U266" s="135"/>
      <c r="V266" s="135"/>
    </row>
    <row r="267" spans="4:22" ht="24.75" customHeight="1">
      <c r="D267" s="142"/>
      <c r="E267" s="136"/>
      <c r="F267" s="15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35"/>
      <c r="R267" s="144"/>
      <c r="S267" s="144"/>
      <c r="T267" s="144"/>
      <c r="U267" s="135"/>
      <c r="V267" s="135"/>
    </row>
    <row r="268" spans="4:22" ht="24.75" customHeight="1">
      <c r="D268" s="142"/>
      <c r="E268" s="136"/>
      <c r="F268" s="15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35"/>
      <c r="R268" s="144"/>
      <c r="S268" s="144"/>
      <c r="T268" s="144"/>
      <c r="U268" s="135"/>
      <c r="V268" s="135"/>
    </row>
    <row r="269" spans="4:22" ht="24.75" customHeight="1">
      <c r="D269" s="142"/>
      <c r="E269" s="136"/>
      <c r="F269" s="15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35"/>
      <c r="R269" s="144"/>
      <c r="S269" s="144"/>
      <c r="T269" s="144"/>
      <c r="U269" s="135"/>
      <c r="V269" s="135"/>
    </row>
    <row r="270" spans="4:22" ht="24.75" customHeight="1">
      <c r="D270" s="142"/>
      <c r="E270" s="136"/>
      <c r="F270" s="15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35"/>
      <c r="R270" s="144"/>
      <c r="S270" s="144"/>
      <c r="T270" s="144"/>
      <c r="U270" s="135"/>
      <c r="V270" s="135"/>
    </row>
    <row r="271" spans="4:22" ht="24.75" customHeight="1">
      <c r="D271" s="142"/>
      <c r="E271" s="136"/>
      <c r="F271" s="15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35"/>
      <c r="R271" s="144"/>
      <c r="S271" s="144"/>
      <c r="T271" s="144"/>
      <c r="U271" s="135"/>
      <c r="V271" s="135"/>
    </row>
    <row r="272" spans="4:22" ht="24.75" customHeight="1">
      <c r="D272" s="142"/>
      <c r="E272" s="136"/>
      <c r="F272" s="15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35"/>
      <c r="R272" s="144"/>
      <c r="S272" s="144"/>
      <c r="T272" s="144"/>
      <c r="U272" s="135"/>
      <c r="V272" s="135"/>
    </row>
    <row r="273" spans="4:22" ht="24.75" customHeight="1">
      <c r="D273" s="142"/>
      <c r="E273" s="136"/>
      <c r="F273" s="15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35"/>
      <c r="R273" s="144"/>
      <c r="S273" s="144"/>
      <c r="T273" s="144"/>
      <c r="U273" s="135"/>
      <c r="V273" s="135"/>
    </row>
    <row r="274" spans="4:22" ht="24.75" customHeight="1">
      <c r="D274" s="142"/>
      <c r="E274" s="136"/>
      <c r="F274" s="15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35"/>
      <c r="R274" s="144"/>
      <c r="S274" s="144"/>
      <c r="T274" s="144"/>
      <c r="U274" s="135"/>
      <c r="V274" s="135"/>
    </row>
    <row r="275" spans="4:22" ht="24.75" customHeight="1">
      <c r="D275" s="142"/>
      <c r="E275" s="136"/>
      <c r="F275" s="15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35"/>
      <c r="R275" s="144"/>
      <c r="S275" s="144"/>
      <c r="T275" s="144"/>
      <c r="U275" s="135"/>
      <c r="V275" s="135"/>
    </row>
    <row r="276" spans="4:22" ht="24.75" customHeight="1">
      <c r="D276" s="142"/>
      <c r="E276" s="136"/>
      <c r="F276" s="15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35"/>
      <c r="R276" s="144"/>
      <c r="S276" s="144"/>
      <c r="T276" s="144"/>
      <c r="U276" s="135"/>
      <c r="V276" s="135"/>
    </row>
    <row r="277" spans="4:22" ht="24.75" customHeight="1">
      <c r="D277" s="142"/>
      <c r="E277" s="136"/>
      <c r="F277" s="15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35"/>
      <c r="R277" s="144"/>
      <c r="S277" s="144"/>
      <c r="T277" s="144"/>
      <c r="U277" s="135"/>
      <c r="V277" s="135"/>
    </row>
    <row r="278" spans="4:22" ht="24.75" customHeight="1">
      <c r="D278" s="142"/>
      <c r="E278" s="136"/>
      <c r="F278" s="15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35"/>
      <c r="R278" s="144"/>
      <c r="S278" s="144"/>
      <c r="T278" s="144"/>
      <c r="U278" s="135"/>
      <c r="V278" s="135"/>
    </row>
    <row r="279" spans="4:22" ht="24.75" customHeight="1">
      <c r="D279" s="142"/>
      <c r="E279" s="136"/>
      <c r="F279" s="15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35"/>
      <c r="R279" s="144"/>
      <c r="S279" s="144"/>
      <c r="T279" s="144"/>
      <c r="U279" s="135"/>
      <c r="V279" s="135"/>
    </row>
    <row r="280" spans="4:22" ht="24.75" customHeight="1">
      <c r="D280" s="142"/>
      <c r="E280" s="136"/>
      <c r="F280" s="15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35"/>
      <c r="R280" s="144"/>
      <c r="S280" s="144"/>
      <c r="T280" s="144"/>
      <c r="U280" s="135"/>
      <c r="V280" s="135"/>
    </row>
    <row r="281" spans="4:22" ht="24.75" customHeight="1">
      <c r="D281" s="142"/>
      <c r="E281" s="136"/>
      <c r="F281" s="15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35"/>
      <c r="R281" s="144"/>
      <c r="S281" s="144"/>
      <c r="T281" s="144"/>
      <c r="U281" s="135"/>
      <c r="V281" s="135"/>
    </row>
    <row r="282" spans="4:22" ht="24.75" customHeight="1">
      <c r="D282" s="142"/>
      <c r="E282" s="136"/>
      <c r="F282" s="15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35"/>
      <c r="R282" s="144"/>
      <c r="S282" s="144"/>
      <c r="T282" s="144"/>
      <c r="U282" s="135"/>
      <c r="V282" s="135"/>
    </row>
    <row r="283" spans="4:22" ht="24.75" customHeight="1">
      <c r="D283" s="142"/>
      <c r="E283" s="136"/>
      <c r="F283" s="15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35"/>
      <c r="R283" s="144"/>
      <c r="S283" s="144"/>
      <c r="T283" s="144"/>
      <c r="U283" s="135"/>
      <c r="V283" s="135"/>
    </row>
    <row r="284" spans="4:22" ht="24.75" customHeight="1">
      <c r="D284" s="142"/>
      <c r="E284" s="136"/>
      <c r="F284" s="15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35"/>
      <c r="R284" s="144"/>
      <c r="S284" s="144"/>
      <c r="T284" s="144"/>
      <c r="U284" s="135"/>
      <c r="V284" s="135"/>
    </row>
    <row r="285" spans="4:22" ht="24.75" customHeight="1">
      <c r="D285" s="142"/>
      <c r="E285" s="136"/>
      <c r="F285" s="15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35"/>
      <c r="R285" s="144"/>
      <c r="S285" s="144"/>
      <c r="T285" s="144"/>
      <c r="U285" s="135"/>
      <c r="V285" s="135"/>
    </row>
    <row r="286" spans="4:22" ht="24.75" customHeight="1">
      <c r="D286" s="142"/>
      <c r="E286" s="136"/>
      <c r="F286" s="15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35"/>
      <c r="R286" s="144"/>
      <c r="S286" s="144"/>
      <c r="T286" s="144"/>
      <c r="U286" s="135"/>
      <c r="V286" s="135"/>
    </row>
    <row r="287" spans="4:22" ht="24.75" customHeight="1">
      <c r="D287" s="142"/>
      <c r="E287" s="136"/>
      <c r="F287" s="15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35"/>
      <c r="R287" s="144"/>
      <c r="S287" s="144"/>
      <c r="T287" s="144"/>
      <c r="U287" s="135"/>
      <c r="V287" s="135"/>
    </row>
    <row r="288" spans="4:22" ht="24.75" customHeight="1">
      <c r="D288" s="142"/>
      <c r="E288" s="136"/>
      <c r="F288" s="15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35"/>
      <c r="R288" s="144"/>
      <c r="S288" s="144"/>
      <c r="T288" s="144"/>
      <c r="U288" s="135"/>
      <c r="V288" s="135"/>
    </row>
    <row r="289" spans="4:22" ht="24.75" customHeight="1">
      <c r="D289" s="142"/>
      <c r="E289" s="136"/>
      <c r="F289" s="15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35"/>
      <c r="R289" s="144"/>
      <c r="S289" s="144"/>
      <c r="T289" s="144"/>
      <c r="U289" s="135"/>
      <c r="V289" s="135"/>
    </row>
    <row r="290" spans="4:22" ht="24.75" customHeight="1">
      <c r="D290" s="142"/>
      <c r="E290" s="136"/>
      <c r="F290" s="15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35"/>
      <c r="R290" s="144"/>
      <c r="S290" s="144"/>
      <c r="T290" s="144"/>
      <c r="U290" s="135"/>
      <c r="V290" s="135"/>
    </row>
    <row r="291" spans="4:22" ht="24.75" customHeight="1">
      <c r="D291" s="142"/>
      <c r="E291" s="136"/>
      <c r="F291" s="15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35"/>
      <c r="R291" s="144"/>
      <c r="S291" s="144"/>
      <c r="T291" s="144"/>
      <c r="U291" s="135"/>
      <c r="V291" s="135"/>
    </row>
    <row r="292" spans="4:22" ht="24.75" customHeight="1">
      <c r="D292" s="142"/>
      <c r="E292" s="136"/>
      <c r="F292" s="15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35"/>
      <c r="R292" s="144"/>
      <c r="S292" s="144"/>
      <c r="T292" s="144"/>
      <c r="U292" s="135"/>
      <c r="V292" s="135"/>
    </row>
    <row r="293" spans="4:22" ht="24.75" customHeight="1">
      <c r="D293" s="142"/>
      <c r="E293" s="136"/>
      <c r="F293" s="15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35"/>
      <c r="R293" s="144"/>
      <c r="S293" s="144"/>
      <c r="T293" s="144"/>
      <c r="U293" s="135"/>
      <c r="V293" s="135"/>
    </row>
    <row r="294" spans="4:22" ht="24.75" customHeight="1">
      <c r="D294" s="142"/>
      <c r="E294" s="136"/>
      <c r="F294" s="15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35"/>
      <c r="R294" s="144"/>
      <c r="S294" s="144"/>
      <c r="T294" s="144"/>
      <c r="U294" s="135"/>
      <c r="V294" s="135"/>
    </row>
    <row r="295" spans="4:22" ht="24.75" customHeight="1">
      <c r="D295" s="142"/>
      <c r="E295" s="136"/>
      <c r="F295" s="15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35"/>
      <c r="R295" s="144"/>
      <c r="S295" s="144"/>
      <c r="T295" s="144"/>
      <c r="U295" s="135"/>
      <c r="V295" s="135"/>
    </row>
    <row r="296" spans="4:22" ht="24.75" customHeight="1">
      <c r="D296" s="142"/>
      <c r="E296" s="136"/>
      <c r="F296" s="15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35"/>
      <c r="R296" s="144"/>
      <c r="S296" s="144"/>
      <c r="T296" s="144"/>
      <c r="U296" s="135"/>
      <c r="V296" s="135"/>
    </row>
    <row r="297" spans="4:22" ht="24.75" customHeight="1">
      <c r="D297" s="142"/>
      <c r="E297" s="136"/>
      <c r="F297" s="15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35"/>
      <c r="R297" s="144"/>
      <c r="S297" s="144"/>
      <c r="T297" s="144"/>
      <c r="U297" s="135"/>
      <c r="V297" s="135"/>
    </row>
    <row r="298" spans="4:22" ht="24.75" customHeight="1">
      <c r="D298" s="142"/>
      <c r="E298" s="136"/>
      <c r="F298" s="15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35"/>
      <c r="R298" s="144"/>
      <c r="S298" s="144"/>
      <c r="T298" s="144"/>
      <c r="U298" s="135"/>
      <c r="V298" s="135"/>
    </row>
    <row r="299" spans="4:22" ht="24.75" customHeight="1">
      <c r="D299" s="142"/>
      <c r="E299" s="136"/>
      <c r="F299" s="15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35"/>
      <c r="R299" s="144"/>
      <c r="S299" s="144"/>
      <c r="T299" s="144"/>
      <c r="U299" s="135"/>
      <c r="V299" s="135"/>
    </row>
    <row r="300" spans="4:22" ht="24.75" customHeight="1">
      <c r="D300" s="142"/>
      <c r="E300" s="136"/>
      <c r="F300" s="15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35"/>
      <c r="R300" s="144"/>
      <c r="S300" s="144"/>
      <c r="T300" s="144"/>
      <c r="U300" s="135"/>
      <c r="V300" s="135"/>
    </row>
    <row r="301" spans="4:22" ht="24.75" customHeight="1">
      <c r="D301" s="142"/>
      <c r="E301" s="136"/>
      <c r="F301" s="15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35"/>
      <c r="R301" s="144"/>
      <c r="S301" s="144"/>
      <c r="T301" s="144"/>
      <c r="U301" s="135"/>
      <c r="V301" s="135"/>
    </row>
    <row r="302" spans="4:22" ht="24.75" customHeight="1">
      <c r="D302" s="142"/>
      <c r="E302" s="136"/>
      <c r="F302" s="15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35"/>
      <c r="R302" s="144"/>
      <c r="S302" s="144"/>
      <c r="T302" s="144"/>
      <c r="U302" s="135"/>
      <c r="V302" s="135"/>
    </row>
    <row r="303" spans="4:22" ht="24.75" customHeight="1">
      <c r="D303" s="142"/>
      <c r="E303" s="136"/>
      <c r="F303" s="15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35"/>
      <c r="R303" s="144"/>
      <c r="S303" s="144"/>
      <c r="T303" s="144"/>
      <c r="U303" s="135"/>
      <c r="V303" s="135"/>
    </row>
    <row r="304" spans="4:22" ht="24.75" customHeight="1">
      <c r="D304" s="142"/>
      <c r="E304" s="136"/>
      <c r="F304" s="15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35"/>
      <c r="R304" s="144"/>
      <c r="S304" s="144"/>
      <c r="T304" s="144"/>
      <c r="U304" s="135"/>
      <c r="V304" s="135"/>
    </row>
    <row r="305" spans="4:22" ht="24.75" customHeight="1">
      <c r="D305" s="142"/>
      <c r="E305" s="136"/>
      <c r="F305" s="15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35"/>
      <c r="R305" s="144"/>
      <c r="S305" s="144"/>
      <c r="T305" s="144"/>
      <c r="U305" s="135"/>
      <c r="V305" s="135"/>
    </row>
    <row r="306" spans="4:22" ht="24.75" customHeight="1">
      <c r="D306" s="142"/>
      <c r="E306" s="136"/>
      <c r="F306" s="15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35"/>
      <c r="R306" s="144"/>
      <c r="S306" s="144"/>
      <c r="T306" s="144"/>
      <c r="U306" s="135"/>
      <c r="V306" s="135"/>
    </row>
    <row r="307" spans="4:22" ht="24.75" customHeight="1">
      <c r="D307" s="142"/>
      <c r="E307" s="136"/>
      <c r="F307" s="15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35"/>
      <c r="R307" s="144"/>
      <c r="S307" s="144"/>
      <c r="T307" s="144"/>
      <c r="U307" s="135"/>
      <c r="V307" s="135"/>
    </row>
    <row r="308" spans="4:22" ht="24.75" customHeight="1">
      <c r="D308" s="142"/>
      <c r="E308" s="136"/>
      <c r="F308" s="15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35"/>
      <c r="R308" s="144"/>
      <c r="S308" s="144"/>
      <c r="T308" s="144"/>
      <c r="U308" s="135"/>
      <c r="V308" s="135"/>
    </row>
    <row r="309" spans="4:22" ht="24.75" customHeight="1">
      <c r="D309" s="142"/>
      <c r="E309" s="136"/>
      <c r="F309" s="15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35"/>
      <c r="R309" s="144"/>
      <c r="S309" s="144"/>
      <c r="T309" s="144"/>
      <c r="U309" s="135"/>
      <c r="V309" s="135"/>
    </row>
    <row r="310" spans="4:22" ht="24.75" customHeight="1">
      <c r="D310" s="142"/>
      <c r="E310" s="136"/>
      <c r="F310" s="15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35"/>
      <c r="R310" s="144"/>
      <c r="S310" s="144"/>
      <c r="T310" s="144"/>
      <c r="U310" s="135"/>
      <c r="V310" s="135"/>
    </row>
    <row r="311" spans="4:22" ht="24.75" customHeight="1">
      <c r="D311" s="142"/>
      <c r="E311" s="136"/>
      <c r="F311" s="15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35"/>
      <c r="R311" s="144"/>
      <c r="S311" s="144"/>
      <c r="T311" s="144"/>
      <c r="U311" s="135"/>
      <c r="V311" s="135"/>
    </row>
    <row r="312" spans="4:22" ht="24.75" customHeight="1">
      <c r="D312" s="142"/>
      <c r="E312" s="136"/>
      <c r="F312" s="15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35"/>
      <c r="R312" s="144"/>
      <c r="S312" s="144"/>
      <c r="T312" s="144"/>
      <c r="U312" s="135"/>
      <c r="V312" s="135"/>
    </row>
    <row r="313" spans="4:22" ht="24.75" customHeight="1">
      <c r="D313" s="142"/>
      <c r="E313" s="136"/>
      <c r="F313" s="15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35"/>
      <c r="R313" s="144"/>
      <c r="S313" s="144"/>
      <c r="T313" s="144"/>
      <c r="U313" s="135"/>
      <c r="V313" s="135"/>
    </row>
    <row r="314" spans="4:22" ht="24.75" customHeight="1">
      <c r="D314" s="142"/>
      <c r="E314" s="136"/>
      <c r="F314" s="15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35"/>
      <c r="R314" s="144"/>
      <c r="S314" s="144"/>
      <c r="T314" s="144"/>
      <c r="U314" s="135"/>
      <c r="V314" s="135"/>
    </row>
    <row r="315" spans="4:22" ht="24.75" customHeight="1">
      <c r="D315" s="142"/>
      <c r="E315" s="136"/>
      <c r="F315" s="15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35"/>
      <c r="R315" s="144"/>
      <c r="S315" s="144"/>
      <c r="T315" s="144"/>
      <c r="U315" s="135"/>
      <c r="V315" s="135"/>
    </row>
    <row r="316" spans="4:22" ht="24.75" customHeight="1">
      <c r="D316" s="142"/>
      <c r="E316" s="136"/>
      <c r="F316" s="15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35"/>
      <c r="R316" s="144"/>
      <c r="S316" s="144"/>
      <c r="T316" s="144"/>
      <c r="U316" s="135"/>
      <c r="V316" s="135"/>
    </row>
    <row r="317" spans="4:22" ht="24.75" customHeight="1">
      <c r="D317" s="142"/>
      <c r="E317" s="136"/>
      <c r="F317" s="15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35"/>
      <c r="R317" s="144"/>
      <c r="S317" s="144"/>
      <c r="T317" s="144"/>
      <c r="U317" s="135"/>
      <c r="V317" s="135"/>
    </row>
    <row r="318" spans="4:22" ht="24.75" customHeight="1">
      <c r="D318" s="142"/>
      <c r="E318" s="136"/>
      <c r="F318" s="15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35"/>
      <c r="R318" s="144"/>
      <c r="S318" s="144"/>
      <c r="T318" s="144"/>
      <c r="U318" s="135"/>
      <c r="V318" s="135"/>
    </row>
    <row r="319" spans="4:22" ht="24.75" customHeight="1">
      <c r="D319" s="142"/>
      <c r="E319" s="136"/>
      <c r="F319" s="15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35"/>
      <c r="R319" s="144"/>
      <c r="S319" s="144"/>
      <c r="T319" s="144"/>
      <c r="U319" s="135"/>
      <c r="V319" s="135"/>
    </row>
    <row r="320" spans="4:22" ht="24.75" customHeight="1">
      <c r="D320" s="142"/>
      <c r="E320" s="136"/>
      <c r="F320" s="15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35"/>
      <c r="R320" s="144"/>
      <c r="S320" s="144"/>
      <c r="T320" s="144"/>
      <c r="U320" s="135"/>
      <c r="V320" s="135"/>
    </row>
    <row r="321" spans="4:22" ht="24.75" customHeight="1">
      <c r="D321" s="142"/>
      <c r="E321" s="136"/>
      <c r="F321" s="15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35"/>
      <c r="R321" s="144"/>
      <c r="S321" s="144"/>
      <c r="T321" s="144"/>
      <c r="U321" s="135"/>
      <c r="V321" s="135"/>
    </row>
    <row r="322" spans="4:22" ht="24.75" customHeight="1">
      <c r="D322" s="142"/>
      <c r="E322" s="136"/>
      <c r="F322" s="15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35"/>
      <c r="R322" s="144"/>
      <c r="S322" s="144"/>
      <c r="T322" s="144"/>
      <c r="U322" s="135"/>
      <c r="V322" s="135"/>
    </row>
    <row r="323" spans="4:22" ht="24.75" customHeight="1">
      <c r="D323" s="142"/>
      <c r="E323" s="136"/>
      <c r="F323" s="15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35"/>
      <c r="R323" s="144"/>
      <c r="S323" s="144"/>
      <c r="T323" s="144"/>
      <c r="U323" s="135"/>
      <c r="V323" s="135"/>
    </row>
    <row r="324" spans="4:22" ht="24.75" customHeight="1">
      <c r="D324" s="142"/>
      <c r="E324" s="136"/>
      <c r="F324" s="15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35"/>
      <c r="R324" s="144"/>
      <c r="S324" s="144"/>
      <c r="T324" s="144"/>
      <c r="U324" s="135"/>
      <c r="V324" s="135"/>
    </row>
    <row r="325" spans="4:22" ht="24.75" customHeight="1">
      <c r="D325" s="142"/>
      <c r="E325" s="136"/>
      <c r="F325" s="15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35"/>
      <c r="R325" s="144"/>
      <c r="S325" s="144"/>
      <c r="T325" s="144"/>
      <c r="U325" s="135"/>
      <c r="V325" s="135"/>
    </row>
    <row r="326" spans="4:22" ht="24.75" customHeight="1">
      <c r="D326" s="142"/>
      <c r="E326" s="136"/>
      <c r="F326" s="15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35"/>
      <c r="R326" s="144"/>
      <c r="S326" s="144"/>
      <c r="T326" s="144"/>
      <c r="U326" s="135"/>
      <c r="V326" s="135"/>
    </row>
    <row r="327" spans="4:22" ht="24.75" customHeight="1">
      <c r="D327" s="142"/>
      <c r="E327" s="136"/>
      <c r="F327" s="15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35"/>
      <c r="R327" s="144"/>
      <c r="S327" s="144"/>
      <c r="T327" s="144"/>
      <c r="U327" s="135"/>
      <c r="V327" s="135"/>
    </row>
    <row r="328" spans="4:22" ht="24.75" customHeight="1">
      <c r="D328" s="142"/>
      <c r="E328" s="136"/>
      <c r="F328" s="15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35"/>
      <c r="R328" s="144"/>
      <c r="S328" s="144"/>
      <c r="T328" s="144"/>
      <c r="U328" s="135"/>
      <c r="V328" s="135"/>
    </row>
    <row r="329" spans="4:22" ht="24.75" customHeight="1">
      <c r="D329" s="142"/>
      <c r="E329" s="136"/>
      <c r="F329" s="15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35"/>
      <c r="R329" s="144"/>
      <c r="S329" s="144"/>
      <c r="T329" s="144"/>
      <c r="U329" s="135"/>
      <c r="V329" s="135"/>
    </row>
    <row r="330" spans="4:22" ht="24.75" customHeight="1">
      <c r="D330" s="142"/>
      <c r="E330" s="136"/>
      <c r="F330" s="15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35"/>
      <c r="R330" s="144"/>
      <c r="S330" s="144"/>
      <c r="T330" s="144"/>
      <c r="U330" s="135"/>
      <c r="V330" s="135"/>
    </row>
    <row r="331" spans="4:22" ht="24.75" customHeight="1">
      <c r="D331" s="142"/>
      <c r="E331" s="136"/>
      <c r="F331" s="15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35"/>
      <c r="R331" s="144"/>
      <c r="S331" s="144"/>
      <c r="T331" s="144"/>
      <c r="U331" s="135"/>
      <c r="V331" s="135"/>
    </row>
    <row r="332" spans="4:22" ht="24.75" customHeight="1">
      <c r="D332" s="142"/>
      <c r="E332" s="136"/>
      <c r="F332" s="15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35"/>
      <c r="R332" s="144"/>
      <c r="S332" s="144"/>
      <c r="T332" s="144"/>
      <c r="U332" s="135"/>
      <c r="V332" s="135"/>
    </row>
    <row r="333" spans="4:22" ht="24.75" customHeight="1">
      <c r="D333" s="142"/>
      <c r="E333" s="136"/>
      <c r="F333" s="15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35"/>
      <c r="R333" s="144"/>
      <c r="S333" s="144"/>
      <c r="T333" s="144"/>
      <c r="U333" s="135"/>
      <c r="V333" s="135"/>
    </row>
    <row r="334" spans="4:22" ht="24.75" customHeight="1">
      <c r="D334" s="142"/>
      <c r="E334" s="136"/>
      <c r="F334" s="15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35"/>
      <c r="R334" s="144"/>
      <c r="S334" s="144"/>
      <c r="T334" s="144"/>
      <c r="U334" s="135"/>
      <c r="V334" s="135"/>
    </row>
    <row r="335" spans="4:22" ht="24.75" customHeight="1">
      <c r="D335" s="142"/>
      <c r="E335" s="136"/>
      <c r="F335" s="15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35"/>
      <c r="R335" s="144"/>
      <c r="S335" s="144"/>
      <c r="T335" s="144"/>
      <c r="U335" s="135"/>
      <c r="V335" s="135"/>
    </row>
    <row r="336" spans="4:22" ht="24.75" customHeight="1">
      <c r="D336" s="142"/>
      <c r="E336" s="136"/>
      <c r="F336" s="15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35"/>
      <c r="R336" s="144"/>
      <c r="S336" s="144"/>
      <c r="T336" s="144"/>
      <c r="U336" s="135"/>
      <c r="V336" s="135"/>
    </row>
    <row r="337" spans="4:22" ht="24.75" customHeight="1">
      <c r="D337" s="142"/>
      <c r="E337" s="136"/>
      <c r="F337" s="15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35"/>
      <c r="R337" s="144"/>
      <c r="S337" s="144"/>
      <c r="T337" s="144"/>
      <c r="U337" s="135"/>
      <c r="V337" s="135"/>
    </row>
    <row r="338" spans="4:22" ht="24.75" customHeight="1">
      <c r="D338" s="142"/>
      <c r="E338" s="136"/>
      <c r="F338" s="15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35"/>
      <c r="R338" s="144"/>
      <c r="S338" s="144"/>
      <c r="T338" s="144"/>
      <c r="U338" s="135"/>
      <c r="V338" s="135"/>
    </row>
    <row r="339" spans="4:22" ht="24.75" customHeight="1">
      <c r="D339" s="142"/>
      <c r="E339" s="136"/>
      <c r="F339" s="15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35"/>
      <c r="R339" s="144"/>
      <c r="S339" s="144"/>
      <c r="T339" s="144"/>
      <c r="U339" s="135"/>
      <c r="V339" s="135"/>
    </row>
    <row r="340" spans="4:22" ht="24.75" customHeight="1">
      <c r="D340" s="142"/>
      <c r="E340" s="136"/>
      <c r="F340" s="15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35"/>
      <c r="R340" s="144"/>
      <c r="S340" s="144"/>
      <c r="T340" s="144"/>
      <c r="U340" s="135"/>
      <c r="V340" s="135"/>
    </row>
    <row r="341" spans="4:22" ht="24.75" customHeight="1">
      <c r="D341" s="142"/>
      <c r="E341" s="136"/>
      <c r="F341" s="15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35"/>
      <c r="R341" s="144"/>
      <c r="S341" s="144"/>
      <c r="T341" s="144"/>
      <c r="U341" s="135"/>
      <c r="V341" s="135"/>
    </row>
    <row r="342" spans="4:22" ht="24.75" customHeight="1">
      <c r="D342" s="142"/>
      <c r="E342" s="136"/>
      <c r="F342" s="15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35"/>
      <c r="R342" s="144"/>
      <c r="S342" s="144"/>
      <c r="T342" s="144"/>
      <c r="U342" s="135"/>
      <c r="V342" s="135"/>
    </row>
    <row r="343" spans="4:22" ht="24.75" customHeight="1">
      <c r="D343" s="142"/>
      <c r="E343" s="136"/>
      <c r="F343" s="15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35"/>
      <c r="R343" s="144"/>
      <c r="S343" s="144"/>
      <c r="T343" s="144"/>
      <c r="U343" s="135"/>
      <c r="V343" s="135"/>
    </row>
    <row r="344" spans="4:22" ht="24.75" customHeight="1">
      <c r="D344" s="142"/>
      <c r="E344" s="136"/>
      <c r="F344" s="15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35"/>
      <c r="R344" s="144"/>
      <c r="S344" s="144"/>
      <c r="T344" s="144"/>
      <c r="U344" s="135"/>
      <c r="V344" s="135"/>
    </row>
    <row r="345" spans="4:22" ht="24.75" customHeight="1">
      <c r="D345" s="142"/>
      <c r="E345" s="136"/>
      <c r="F345" s="15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35"/>
      <c r="R345" s="144"/>
      <c r="S345" s="144"/>
      <c r="T345" s="144"/>
      <c r="U345" s="135"/>
      <c r="V345" s="135"/>
    </row>
    <row r="346" spans="4:22" ht="24.75" customHeight="1">
      <c r="D346" s="142"/>
      <c r="E346" s="136"/>
      <c r="F346" s="15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35"/>
      <c r="R346" s="144"/>
      <c r="S346" s="144"/>
      <c r="T346" s="144"/>
      <c r="U346" s="135"/>
      <c r="V346" s="135"/>
    </row>
    <row r="347" spans="4:22" ht="24.75" customHeight="1">
      <c r="D347" s="142"/>
      <c r="E347" s="136"/>
      <c r="F347" s="15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35"/>
      <c r="R347" s="144"/>
      <c r="S347" s="144"/>
      <c r="T347" s="144"/>
      <c r="U347" s="135"/>
      <c r="V347" s="135"/>
    </row>
    <row r="348" spans="4:22" ht="24.75" customHeight="1">
      <c r="D348" s="142"/>
      <c r="E348" s="136"/>
      <c r="F348" s="15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35"/>
      <c r="R348" s="144"/>
      <c r="S348" s="144"/>
      <c r="T348" s="144"/>
      <c r="U348" s="135"/>
      <c r="V348" s="135"/>
    </row>
    <row r="349" spans="4:22" ht="24.75" customHeight="1">
      <c r="D349" s="142"/>
      <c r="E349" s="136"/>
      <c r="F349" s="15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35"/>
      <c r="R349" s="144"/>
      <c r="S349" s="144"/>
      <c r="T349" s="144"/>
      <c r="U349" s="135"/>
      <c r="V349" s="135"/>
    </row>
    <row r="350" spans="4:22" ht="24.75" customHeight="1">
      <c r="D350" s="142"/>
      <c r="E350" s="136"/>
      <c r="F350" s="15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35"/>
      <c r="R350" s="144"/>
      <c r="S350" s="144"/>
      <c r="T350" s="144"/>
      <c r="U350" s="135"/>
      <c r="V350" s="135"/>
    </row>
    <row r="351" spans="4:22" ht="24.75" customHeight="1">
      <c r="D351" s="142"/>
      <c r="E351" s="136"/>
      <c r="F351" s="15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35"/>
      <c r="R351" s="144"/>
      <c r="S351" s="144"/>
      <c r="T351" s="144"/>
      <c r="U351" s="135"/>
      <c r="V351" s="135"/>
    </row>
    <row r="352" spans="4:22" ht="24.75" customHeight="1">
      <c r="D352" s="142"/>
      <c r="E352" s="136"/>
      <c r="F352" s="15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35"/>
      <c r="R352" s="144"/>
      <c r="S352" s="144"/>
      <c r="T352" s="144"/>
      <c r="U352" s="135"/>
      <c r="V352" s="135"/>
    </row>
    <row r="353" spans="4:22" ht="24.75" customHeight="1">
      <c r="D353" s="142"/>
      <c r="E353" s="136"/>
      <c r="F353" s="15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35"/>
      <c r="R353" s="144"/>
      <c r="S353" s="144"/>
      <c r="T353" s="144"/>
      <c r="U353" s="135"/>
      <c r="V353" s="135"/>
    </row>
    <row r="354" spans="4:22" ht="24.75" customHeight="1">
      <c r="D354" s="142"/>
      <c r="E354" s="136"/>
      <c r="F354" s="15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35"/>
      <c r="R354" s="144"/>
      <c r="S354" s="144"/>
      <c r="T354" s="144"/>
      <c r="U354" s="135"/>
      <c r="V354" s="135"/>
    </row>
    <row r="355" spans="4:22" ht="24.75" customHeight="1">
      <c r="D355" s="142"/>
      <c r="E355" s="136"/>
      <c r="F355" s="15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35"/>
      <c r="R355" s="144"/>
      <c r="S355" s="144"/>
      <c r="T355" s="144"/>
      <c r="U355" s="135"/>
      <c r="V355" s="135"/>
    </row>
    <row r="356" spans="4:22" ht="24.75" customHeight="1">
      <c r="D356" s="142"/>
      <c r="E356" s="136"/>
      <c r="F356" s="15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35"/>
      <c r="R356" s="144"/>
      <c r="S356" s="144"/>
      <c r="T356" s="144"/>
      <c r="U356" s="135"/>
      <c r="V356" s="135"/>
    </row>
    <row r="357" spans="4:22" ht="24.75" customHeight="1">
      <c r="D357" s="142"/>
      <c r="E357" s="136"/>
      <c r="F357" s="15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35"/>
      <c r="R357" s="144"/>
      <c r="S357" s="144"/>
      <c r="T357" s="144"/>
      <c r="U357" s="135"/>
      <c r="V357" s="135"/>
    </row>
    <row r="358" spans="4:22" ht="24.75" customHeight="1">
      <c r="D358" s="142"/>
      <c r="E358" s="136"/>
      <c r="F358" s="15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35"/>
      <c r="R358" s="144"/>
      <c r="S358" s="144"/>
      <c r="T358" s="144"/>
      <c r="U358" s="135"/>
      <c r="V358" s="135"/>
    </row>
    <row r="359" spans="4:22" ht="24.75" customHeight="1">
      <c r="D359" s="142"/>
      <c r="E359" s="136"/>
      <c r="F359" s="15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35"/>
      <c r="R359" s="144"/>
      <c r="S359" s="144"/>
      <c r="T359" s="144"/>
      <c r="U359" s="135"/>
      <c r="V359" s="135"/>
    </row>
    <row r="360" spans="4:22" ht="24.75" customHeight="1">
      <c r="D360" s="142"/>
      <c r="E360" s="136"/>
      <c r="F360" s="15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35"/>
      <c r="R360" s="144"/>
      <c r="S360" s="144"/>
      <c r="T360" s="144"/>
      <c r="U360" s="135"/>
      <c r="V360" s="135"/>
    </row>
    <row r="361" spans="4:22" ht="24.75" customHeight="1">
      <c r="D361" s="142"/>
      <c r="E361" s="136"/>
      <c r="F361" s="15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35"/>
      <c r="R361" s="144"/>
      <c r="S361" s="144"/>
      <c r="T361" s="144"/>
      <c r="U361" s="135"/>
      <c r="V361" s="135"/>
    </row>
    <row r="362" spans="4:22" ht="24.75" customHeight="1">
      <c r="D362" s="142"/>
      <c r="E362" s="136"/>
      <c r="F362" s="15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35"/>
      <c r="R362" s="144"/>
      <c r="S362" s="144"/>
      <c r="T362" s="144"/>
      <c r="U362" s="135"/>
      <c r="V362" s="135"/>
    </row>
    <row r="363" spans="4:22" ht="24.75" customHeight="1">
      <c r="D363" s="142"/>
      <c r="E363" s="136"/>
      <c r="F363" s="15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35"/>
      <c r="R363" s="144"/>
      <c r="S363" s="144"/>
      <c r="T363" s="144"/>
      <c r="U363" s="135"/>
      <c r="V363" s="135"/>
    </row>
    <row r="364" spans="4:22" ht="24.75" customHeight="1">
      <c r="D364" s="142"/>
      <c r="E364" s="136"/>
      <c r="F364" s="15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35"/>
      <c r="R364" s="144"/>
      <c r="S364" s="144"/>
      <c r="T364" s="144"/>
      <c r="U364" s="135"/>
      <c r="V364" s="135"/>
    </row>
    <row r="365" spans="4:22" ht="24.75" customHeight="1">
      <c r="D365" s="142"/>
      <c r="E365" s="136"/>
      <c r="F365" s="15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35"/>
      <c r="R365" s="144"/>
      <c r="S365" s="144"/>
      <c r="T365" s="144"/>
      <c r="U365" s="135"/>
      <c r="V365" s="135"/>
    </row>
    <row r="366" spans="4:22" ht="24.75" customHeight="1">
      <c r="D366" s="142"/>
      <c r="E366" s="136"/>
      <c r="F366" s="15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35"/>
      <c r="R366" s="144"/>
      <c r="S366" s="144"/>
      <c r="T366" s="144"/>
      <c r="U366" s="135"/>
      <c r="V366" s="135"/>
    </row>
    <row r="367" spans="4:22" ht="24.75" customHeight="1">
      <c r="D367" s="142"/>
      <c r="E367" s="136"/>
      <c r="F367" s="15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35"/>
      <c r="R367" s="144"/>
      <c r="S367" s="144"/>
      <c r="T367" s="144"/>
      <c r="U367" s="135"/>
      <c r="V367" s="135"/>
    </row>
    <row r="368" spans="4:22" ht="24.75" customHeight="1">
      <c r="D368" s="142"/>
      <c r="E368" s="136"/>
      <c r="F368" s="15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35"/>
      <c r="R368" s="144"/>
      <c r="S368" s="144"/>
      <c r="T368" s="144"/>
      <c r="U368" s="135"/>
      <c r="V368" s="135"/>
    </row>
    <row r="369" spans="4:22" ht="24.75" customHeight="1">
      <c r="D369" s="142"/>
      <c r="E369" s="136"/>
      <c r="F369" s="15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35"/>
      <c r="R369" s="144"/>
      <c r="S369" s="144"/>
      <c r="T369" s="144"/>
      <c r="U369" s="135"/>
      <c r="V369" s="135"/>
    </row>
    <row r="370" spans="4:22" ht="24.75" customHeight="1">
      <c r="D370" s="142"/>
      <c r="E370" s="136"/>
      <c r="F370" s="15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35"/>
      <c r="R370" s="144"/>
      <c r="S370" s="144"/>
      <c r="T370" s="144"/>
      <c r="U370" s="135"/>
      <c r="V370" s="135"/>
    </row>
    <row r="371" spans="4:22" ht="24.75" customHeight="1">
      <c r="D371" s="142"/>
      <c r="E371" s="136"/>
      <c r="F371" s="15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35"/>
      <c r="R371" s="144"/>
      <c r="S371" s="144"/>
      <c r="T371" s="144"/>
      <c r="U371" s="135"/>
      <c r="V371" s="135"/>
    </row>
    <row r="372" spans="4:22" ht="24.75" customHeight="1">
      <c r="D372" s="142"/>
      <c r="E372" s="136"/>
      <c r="F372" s="15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35"/>
      <c r="R372" s="144"/>
      <c r="S372" s="144"/>
      <c r="T372" s="144"/>
      <c r="U372" s="135"/>
      <c r="V372" s="135"/>
    </row>
    <row r="373" spans="4:22" ht="24.75" customHeight="1">
      <c r="D373" s="142"/>
      <c r="E373" s="136"/>
      <c r="F373" s="15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35"/>
      <c r="R373" s="144"/>
      <c r="S373" s="144"/>
      <c r="T373" s="144"/>
      <c r="U373" s="135"/>
      <c r="V373" s="135"/>
    </row>
    <row r="374" spans="4:22" ht="24.75" customHeight="1">
      <c r="D374" s="142"/>
      <c r="E374" s="136"/>
      <c r="F374" s="15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35"/>
      <c r="R374" s="144"/>
      <c r="S374" s="144"/>
      <c r="T374" s="144"/>
      <c r="U374" s="135"/>
      <c r="V374" s="135"/>
    </row>
    <row r="375" spans="4:22" ht="24.75" customHeight="1">
      <c r="D375" s="142"/>
      <c r="E375" s="136"/>
      <c r="F375" s="15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35"/>
      <c r="R375" s="144"/>
      <c r="S375" s="144"/>
      <c r="T375" s="144"/>
      <c r="U375" s="135"/>
      <c r="V375" s="135"/>
    </row>
    <row r="376" spans="4:22" ht="24.75" customHeight="1">
      <c r="D376" s="142"/>
      <c r="E376" s="136"/>
      <c r="F376" s="15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35"/>
      <c r="R376" s="144"/>
      <c r="S376" s="144"/>
      <c r="T376" s="144"/>
      <c r="U376" s="135"/>
      <c r="V376" s="135"/>
    </row>
    <row r="377" spans="4:22" ht="24.75" customHeight="1">
      <c r="D377" s="142"/>
      <c r="E377" s="136"/>
      <c r="F377" s="15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35"/>
      <c r="R377" s="144"/>
      <c r="S377" s="144"/>
      <c r="T377" s="144"/>
      <c r="U377" s="135"/>
      <c r="V377" s="135"/>
    </row>
    <row r="378" spans="4:22" ht="24.75" customHeight="1">
      <c r="D378" s="142"/>
      <c r="E378" s="136"/>
      <c r="F378" s="15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35"/>
      <c r="R378" s="144"/>
      <c r="S378" s="144"/>
      <c r="T378" s="144"/>
      <c r="U378" s="135"/>
      <c r="V378" s="135"/>
    </row>
    <row r="379" spans="4:22" ht="24.75" customHeight="1">
      <c r="D379" s="142"/>
      <c r="E379" s="136"/>
      <c r="F379" s="15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35"/>
      <c r="R379" s="144"/>
      <c r="S379" s="144"/>
      <c r="T379" s="144"/>
      <c r="U379" s="135"/>
      <c r="V379" s="135"/>
    </row>
    <row r="380" spans="4:22" ht="24.75" customHeight="1">
      <c r="D380" s="142"/>
      <c r="E380" s="136"/>
      <c r="F380" s="15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35"/>
      <c r="R380" s="144"/>
      <c r="S380" s="144"/>
      <c r="T380" s="144"/>
      <c r="U380" s="135"/>
      <c r="V380" s="135"/>
    </row>
    <row r="381" spans="4:22" ht="24.75" customHeight="1">
      <c r="D381" s="142"/>
      <c r="E381" s="136"/>
      <c r="F381" s="15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35"/>
      <c r="R381" s="144"/>
      <c r="S381" s="144"/>
      <c r="T381" s="144"/>
      <c r="U381" s="135"/>
      <c r="V381" s="135"/>
    </row>
    <row r="382" spans="4:22" ht="24.75" customHeight="1">
      <c r="D382" s="142"/>
      <c r="E382" s="136"/>
      <c r="F382" s="15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35"/>
      <c r="R382" s="144"/>
      <c r="S382" s="144"/>
      <c r="T382" s="144"/>
      <c r="U382" s="135"/>
      <c r="V382" s="135"/>
    </row>
    <row r="383" spans="4:22" ht="24.75" customHeight="1">
      <c r="D383" s="142"/>
      <c r="E383" s="136"/>
      <c r="F383" s="15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35"/>
      <c r="R383" s="144"/>
      <c r="S383" s="144"/>
      <c r="T383" s="144"/>
      <c r="U383" s="135"/>
      <c r="V383" s="135"/>
    </row>
    <row r="384" spans="4:22" ht="24.75" customHeight="1">
      <c r="D384" s="142"/>
      <c r="E384" s="136"/>
      <c r="F384" s="15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35"/>
      <c r="R384" s="144"/>
      <c r="S384" s="144"/>
      <c r="T384" s="144"/>
      <c r="U384" s="135"/>
      <c r="V384" s="135"/>
    </row>
    <row r="385" spans="4:22" ht="24.75" customHeight="1">
      <c r="D385" s="142"/>
      <c r="E385" s="136"/>
      <c r="F385" s="15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35"/>
      <c r="R385" s="144"/>
      <c r="S385" s="144"/>
      <c r="T385" s="144"/>
      <c r="U385" s="135"/>
      <c r="V385" s="135"/>
    </row>
    <row r="386" spans="4:22" ht="24.75" customHeight="1">
      <c r="D386" s="142"/>
      <c r="E386" s="136"/>
      <c r="F386" s="15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35"/>
      <c r="R386" s="144"/>
      <c r="S386" s="144"/>
      <c r="T386" s="144"/>
      <c r="U386" s="135"/>
      <c r="V386" s="135"/>
    </row>
    <row r="387" spans="4:22" ht="24.75" customHeight="1">
      <c r="D387" s="142"/>
      <c r="E387" s="136"/>
      <c r="F387" s="15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35"/>
      <c r="R387" s="144"/>
      <c r="S387" s="144"/>
      <c r="T387" s="144"/>
      <c r="U387" s="135"/>
      <c r="V387" s="135"/>
    </row>
    <row r="388" spans="4:22" ht="24.75" customHeight="1">
      <c r="D388" s="142"/>
      <c r="E388" s="136"/>
      <c r="F388" s="15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35"/>
      <c r="R388" s="144"/>
      <c r="S388" s="144"/>
      <c r="T388" s="144"/>
      <c r="U388" s="135"/>
      <c r="V388" s="135"/>
    </row>
    <row r="389" spans="4:22" ht="24.75" customHeight="1">
      <c r="D389" s="142"/>
      <c r="E389" s="136"/>
      <c r="F389" s="15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35"/>
      <c r="R389" s="144"/>
      <c r="S389" s="144"/>
      <c r="T389" s="144"/>
      <c r="U389" s="135"/>
      <c r="V389" s="135"/>
    </row>
    <row r="390" spans="4:22" ht="24.75" customHeight="1">
      <c r="D390" s="142"/>
      <c r="E390" s="136"/>
      <c r="F390" s="15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35"/>
      <c r="R390" s="144"/>
      <c r="S390" s="144"/>
      <c r="T390" s="144"/>
      <c r="U390" s="135"/>
      <c r="V390" s="135"/>
    </row>
    <row r="391" spans="4:22" ht="24.75" customHeight="1">
      <c r="D391" s="142"/>
      <c r="E391" s="136"/>
      <c r="F391" s="15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35"/>
      <c r="R391" s="144"/>
      <c r="S391" s="144"/>
      <c r="T391" s="144"/>
      <c r="U391" s="135"/>
      <c r="V391" s="135"/>
    </row>
    <row r="392" spans="4:22" ht="24.75" customHeight="1">
      <c r="D392" s="142"/>
      <c r="E392" s="136"/>
      <c r="F392" s="15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35"/>
      <c r="R392" s="144"/>
      <c r="S392" s="144"/>
      <c r="T392" s="144"/>
      <c r="U392" s="135"/>
      <c r="V392" s="135"/>
    </row>
    <row r="393" spans="4:22" ht="24.75" customHeight="1">
      <c r="D393" s="142"/>
      <c r="E393" s="136"/>
      <c r="F393" s="15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35"/>
      <c r="R393" s="144"/>
      <c r="S393" s="144"/>
      <c r="T393" s="144"/>
      <c r="U393" s="135"/>
      <c r="V393" s="135"/>
    </row>
    <row r="394" spans="4:22" ht="24.75" customHeight="1">
      <c r="D394" s="142"/>
      <c r="E394" s="136"/>
      <c r="F394" s="15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35"/>
      <c r="R394" s="144"/>
      <c r="S394" s="144"/>
      <c r="T394" s="144"/>
      <c r="U394" s="135"/>
      <c r="V394" s="135"/>
    </row>
    <row r="395" spans="4:22" ht="24.75" customHeight="1">
      <c r="D395" s="142"/>
      <c r="E395" s="136"/>
      <c r="F395" s="15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35"/>
      <c r="R395" s="144"/>
      <c r="S395" s="144"/>
      <c r="T395" s="144"/>
      <c r="U395" s="135"/>
      <c r="V395" s="135"/>
    </row>
    <row r="396" spans="4:22" ht="24.75" customHeight="1">
      <c r="D396" s="142"/>
      <c r="E396" s="136"/>
      <c r="F396" s="15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35"/>
      <c r="R396" s="144"/>
      <c r="S396" s="144"/>
      <c r="T396" s="144"/>
      <c r="U396" s="135"/>
      <c r="V396" s="135"/>
    </row>
    <row r="397" spans="4:22" ht="24.75" customHeight="1">
      <c r="D397" s="142"/>
      <c r="E397" s="136"/>
      <c r="F397" s="15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35"/>
      <c r="R397" s="144"/>
      <c r="S397" s="144"/>
      <c r="T397" s="144"/>
      <c r="U397" s="135"/>
      <c r="V397" s="135"/>
    </row>
    <row r="398" spans="4:22" ht="24.75" customHeight="1">
      <c r="D398" s="142"/>
      <c r="E398" s="136"/>
      <c r="F398" s="15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35"/>
      <c r="R398" s="144"/>
      <c r="S398" s="144"/>
      <c r="T398" s="144"/>
      <c r="U398" s="135"/>
      <c r="V398" s="135"/>
    </row>
    <row r="399" spans="4:22" ht="24.75" customHeight="1">
      <c r="D399" s="142"/>
      <c r="E399" s="136"/>
      <c r="F399" s="15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35"/>
      <c r="R399" s="144"/>
      <c r="S399" s="144"/>
      <c r="T399" s="144"/>
      <c r="U399" s="135"/>
      <c r="V399" s="135"/>
    </row>
    <row r="400" spans="4:22" ht="24.75" customHeight="1">
      <c r="D400" s="142"/>
      <c r="E400" s="136"/>
      <c r="F400" s="15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35"/>
      <c r="R400" s="144"/>
      <c r="S400" s="144"/>
      <c r="T400" s="144"/>
      <c r="U400" s="135"/>
      <c r="V400" s="135"/>
    </row>
    <row r="401" spans="4:22" ht="24.75" customHeight="1">
      <c r="D401" s="142"/>
      <c r="E401" s="136"/>
      <c r="F401" s="15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35"/>
      <c r="R401" s="144"/>
      <c r="S401" s="144"/>
      <c r="T401" s="144"/>
      <c r="U401" s="135"/>
      <c r="V401" s="135"/>
    </row>
    <row r="402" spans="4:22" ht="24.75" customHeight="1">
      <c r="D402" s="142"/>
      <c r="E402" s="136"/>
      <c r="F402" s="15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35"/>
      <c r="R402" s="144"/>
      <c r="S402" s="144"/>
      <c r="T402" s="144"/>
      <c r="U402" s="135"/>
      <c r="V402" s="135"/>
    </row>
    <row r="403" spans="4:22" ht="24.75" customHeight="1">
      <c r="D403" s="142"/>
      <c r="E403" s="136"/>
      <c r="F403" s="15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35"/>
      <c r="R403" s="144"/>
      <c r="S403" s="144"/>
      <c r="T403" s="144"/>
      <c r="U403" s="135"/>
      <c r="V403" s="135"/>
    </row>
    <row r="404" spans="4:22" ht="24.75" customHeight="1">
      <c r="D404" s="142"/>
      <c r="E404" s="136"/>
      <c r="F404" s="15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35"/>
      <c r="R404" s="144"/>
      <c r="S404" s="144"/>
      <c r="T404" s="144"/>
      <c r="U404" s="135"/>
      <c r="V404" s="135"/>
    </row>
    <row r="405" spans="4:22" ht="24.75" customHeight="1">
      <c r="D405" s="142"/>
      <c r="E405" s="136"/>
      <c r="F405" s="15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35"/>
      <c r="R405" s="144"/>
      <c r="S405" s="144"/>
      <c r="T405" s="144"/>
      <c r="U405" s="135"/>
      <c r="V405" s="135"/>
    </row>
    <row r="406" spans="4:22" ht="24.75" customHeight="1">
      <c r="D406" s="142"/>
      <c r="E406" s="136"/>
      <c r="F406" s="15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35"/>
      <c r="R406" s="144"/>
      <c r="S406" s="144"/>
      <c r="T406" s="144"/>
      <c r="U406" s="135"/>
      <c r="V406" s="135"/>
    </row>
    <row r="407" spans="4:22" ht="24.75" customHeight="1">
      <c r="D407" s="142"/>
      <c r="E407" s="136"/>
      <c r="F407" s="15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35"/>
      <c r="R407" s="144"/>
      <c r="S407" s="144"/>
      <c r="T407" s="144"/>
      <c r="U407" s="135"/>
      <c r="V407" s="135"/>
    </row>
    <row r="408" spans="4:22" ht="24.75" customHeight="1">
      <c r="D408" s="142"/>
      <c r="E408" s="136"/>
      <c r="F408" s="15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35"/>
      <c r="R408" s="144"/>
      <c r="S408" s="144"/>
      <c r="T408" s="144"/>
      <c r="U408" s="135"/>
      <c r="V408" s="135"/>
    </row>
    <row r="409" spans="4:22" ht="24.75" customHeight="1">
      <c r="D409" s="142"/>
      <c r="E409" s="136"/>
      <c r="F409" s="15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35"/>
      <c r="R409" s="144"/>
      <c r="S409" s="144"/>
      <c r="T409" s="144"/>
      <c r="U409" s="135"/>
      <c r="V409" s="135"/>
    </row>
    <row r="410" spans="4:22" ht="24.75" customHeight="1">
      <c r="D410" s="142"/>
      <c r="E410" s="136"/>
      <c r="F410" s="15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35"/>
      <c r="R410" s="144"/>
      <c r="S410" s="144"/>
      <c r="T410" s="144"/>
      <c r="U410" s="135"/>
      <c r="V410" s="135"/>
    </row>
    <row r="411" spans="4:22" ht="24.75" customHeight="1">
      <c r="D411" s="142"/>
      <c r="E411" s="136"/>
      <c r="F411" s="15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35"/>
      <c r="R411" s="144"/>
      <c r="S411" s="144"/>
      <c r="T411" s="144"/>
      <c r="U411" s="135"/>
      <c r="V411" s="135"/>
    </row>
    <row r="412" spans="4:22" ht="24.75" customHeight="1">
      <c r="D412" s="142"/>
      <c r="E412" s="136"/>
      <c r="F412" s="15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35"/>
      <c r="R412" s="144"/>
      <c r="S412" s="144"/>
      <c r="T412" s="144"/>
      <c r="U412" s="135"/>
      <c r="V412" s="135"/>
    </row>
    <row r="413" spans="4:22" ht="24.75" customHeight="1">
      <c r="D413" s="142"/>
      <c r="E413" s="136"/>
      <c r="F413" s="15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35"/>
      <c r="R413" s="144"/>
      <c r="S413" s="144"/>
      <c r="T413" s="144"/>
      <c r="U413" s="135"/>
      <c r="V413" s="135"/>
    </row>
    <row r="414" spans="4:22" ht="24.75" customHeight="1">
      <c r="D414" s="142"/>
      <c r="E414" s="136"/>
      <c r="F414" s="15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35"/>
      <c r="R414" s="144"/>
      <c r="S414" s="144"/>
      <c r="T414" s="144"/>
      <c r="U414" s="135"/>
      <c r="V414" s="135"/>
    </row>
    <row r="415" spans="4:22" ht="24.75" customHeight="1">
      <c r="D415" s="142"/>
      <c r="E415" s="136"/>
      <c r="F415" s="15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35"/>
      <c r="R415" s="144"/>
      <c r="S415" s="144"/>
      <c r="T415" s="144"/>
      <c r="U415" s="135"/>
      <c r="V415" s="135"/>
    </row>
    <row r="416" spans="4:22" ht="24.75" customHeight="1">
      <c r="D416" s="142"/>
      <c r="E416" s="136"/>
      <c r="F416" s="15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35"/>
      <c r="R416" s="144"/>
      <c r="S416" s="144"/>
      <c r="T416" s="144"/>
      <c r="U416" s="135"/>
      <c r="V416" s="135"/>
    </row>
    <row r="417" spans="4:22" ht="24.75" customHeight="1">
      <c r="D417" s="142"/>
      <c r="E417" s="136"/>
      <c r="F417" s="15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35"/>
      <c r="R417" s="144"/>
      <c r="S417" s="144"/>
      <c r="T417" s="144"/>
      <c r="U417" s="135"/>
      <c r="V417" s="135"/>
    </row>
    <row r="418" spans="4:22" ht="24.75" customHeight="1">
      <c r="D418" s="142"/>
      <c r="E418" s="136"/>
      <c r="F418" s="15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35"/>
      <c r="R418" s="144"/>
      <c r="S418" s="144"/>
      <c r="T418" s="144"/>
      <c r="U418" s="135"/>
      <c r="V418" s="135"/>
    </row>
    <row r="419" spans="4:22" ht="24.75" customHeight="1">
      <c r="D419" s="142"/>
      <c r="E419" s="136"/>
      <c r="F419" s="15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35"/>
      <c r="R419" s="144"/>
      <c r="S419" s="144"/>
      <c r="T419" s="144"/>
      <c r="U419" s="135"/>
      <c r="V419" s="135"/>
    </row>
    <row r="420" spans="4:22" ht="24.75" customHeight="1">
      <c r="D420" s="142"/>
      <c r="E420" s="136"/>
      <c r="F420" s="15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35"/>
      <c r="R420" s="144"/>
      <c r="S420" s="144"/>
      <c r="T420" s="144"/>
      <c r="U420" s="135"/>
      <c r="V420" s="135"/>
    </row>
    <row r="421" spans="4:22" ht="24.75" customHeight="1">
      <c r="D421" s="142"/>
      <c r="E421" s="136"/>
      <c r="F421" s="15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35"/>
      <c r="R421" s="144"/>
      <c r="S421" s="144"/>
      <c r="T421" s="144"/>
      <c r="U421" s="135"/>
      <c r="V421" s="135"/>
    </row>
    <row r="422" spans="4:22" ht="24.75" customHeight="1">
      <c r="D422" s="142"/>
      <c r="E422" s="136"/>
      <c r="F422" s="15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35"/>
      <c r="R422" s="144"/>
      <c r="S422" s="144"/>
      <c r="T422" s="144"/>
      <c r="U422" s="135"/>
      <c r="V422" s="135"/>
    </row>
    <row r="423" spans="4:22" ht="24.75" customHeight="1">
      <c r="D423" s="142"/>
      <c r="E423" s="136"/>
      <c r="F423" s="15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35"/>
      <c r="R423" s="144"/>
      <c r="S423" s="144"/>
      <c r="T423" s="144"/>
      <c r="U423" s="135"/>
      <c r="V423" s="135"/>
    </row>
    <row r="424" spans="4:22" ht="24.75" customHeight="1">
      <c r="D424" s="142"/>
      <c r="E424" s="136"/>
      <c r="F424" s="15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35"/>
      <c r="R424" s="144"/>
      <c r="S424" s="144"/>
      <c r="T424" s="144"/>
      <c r="U424" s="135"/>
      <c r="V424" s="135"/>
    </row>
    <row r="425" spans="4:22" ht="24.75" customHeight="1">
      <c r="D425" s="142"/>
      <c r="E425" s="136"/>
      <c r="F425" s="15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35"/>
      <c r="R425" s="144"/>
      <c r="S425" s="144"/>
      <c r="T425" s="144"/>
      <c r="U425" s="135"/>
      <c r="V425" s="135"/>
    </row>
    <row r="426" spans="4:22" ht="24.75" customHeight="1">
      <c r="D426" s="142"/>
      <c r="E426" s="136"/>
      <c r="F426" s="15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35"/>
      <c r="R426" s="144"/>
      <c r="S426" s="144"/>
      <c r="T426" s="144"/>
      <c r="U426" s="135"/>
      <c r="V426" s="135"/>
    </row>
    <row r="427" spans="4:22" ht="24.75" customHeight="1">
      <c r="D427" s="142"/>
      <c r="E427" s="136"/>
      <c r="F427" s="15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35"/>
      <c r="R427" s="144"/>
      <c r="S427" s="144"/>
      <c r="T427" s="144"/>
      <c r="U427" s="135"/>
      <c r="V427" s="135"/>
    </row>
    <row r="428" spans="4:22" ht="24.75" customHeight="1">
      <c r="D428" s="142"/>
      <c r="E428" s="136"/>
      <c r="F428" s="15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35"/>
      <c r="R428" s="144"/>
      <c r="S428" s="144"/>
      <c r="T428" s="144"/>
      <c r="U428" s="135"/>
      <c r="V428" s="135"/>
    </row>
    <row r="429" spans="4:22" ht="24.75" customHeight="1">
      <c r="D429" s="142"/>
      <c r="E429" s="136"/>
      <c r="F429" s="15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35"/>
      <c r="R429" s="144"/>
      <c r="S429" s="144"/>
      <c r="T429" s="144"/>
      <c r="U429" s="135"/>
      <c r="V429" s="135"/>
    </row>
    <row r="430" spans="4:22" ht="24.75" customHeight="1">
      <c r="D430" s="142"/>
      <c r="E430" s="136"/>
      <c r="F430" s="15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35"/>
      <c r="R430" s="144"/>
      <c r="S430" s="144"/>
      <c r="T430" s="144"/>
      <c r="U430" s="135"/>
      <c r="V430" s="135"/>
    </row>
    <row r="431" spans="4:22" ht="24.75" customHeight="1">
      <c r="D431" s="142"/>
      <c r="E431" s="136"/>
      <c r="F431" s="15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35"/>
      <c r="R431" s="144"/>
      <c r="S431" s="144"/>
      <c r="T431" s="144"/>
      <c r="U431" s="135"/>
      <c r="V431" s="135"/>
    </row>
    <row r="432" spans="4:22" ht="24.75" customHeight="1">
      <c r="D432" s="142"/>
      <c r="E432" s="136"/>
      <c r="F432" s="15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35"/>
      <c r="R432" s="144"/>
      <c r="S432" s="144"/>
      <c r="T432" s="144"/>
      <c r="U432" s="135"/>
      <c r="V432" s="135"/>
    </row>
    <row r="433" spans="4:22" ht="24.75" customHeight="1">
      <c r="D433" s="142"/>
      <c r="E433" s="136"/>
      <c r="F433" s="15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35"/>
      <c r="R433" s="144"/>
      <c r="S433" s="144"/>
      <c r="T433" s="144"/>
      <c r="U433" s="135"/>
      <c r="V433" s="135"/>
    </row>
    <row r="434" spans="4:22" ht="24.75" customHeight="1">
      <c r="D434" s="142"/>
      <c r="E434" s="136"/>
      <c r="F434" s="15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35"/>
      <c r="R434" s="144"/>
      <c r="S434" s="144"/>
      <c r="T434" s="144"/>
      <c r="U434" s="135"/>
      <c r="V434" s="135"/>
    </row>
    <row r="435" spans="4:22" ht="24.75" customHeight="1">
      <c r="D435" s="142"/>
      <c r="E435" s="136"/>
      <c r="F435" s="15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35"/>
      <c r="R435" s="144"/>
      <c r="S435" s="144"/>
      <c r="T435" s="144"/>
      <c r="U435" s="135"/>
      <c r="V435" s="135"/>
    </row>
    <row r="436" spans="4:22" ht="24.75" customHeight="1">
      <c r="D436" s="142"/>
      <c r="E436" s="136"/>
      <c r="F436" s="15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35"/>
      <c r="R436" s="144"/>
      <c r="S436" s="144"/>
      <c r="T436" s="144"/>
      <c r="U436" s="135"/>
      <c r="V436" s="135"/>
    </row>
    <row r="437" spans="4:22" ht="24.75" customHeight="1">
      <c r="D437" s="142"/>
      <c r="E437" s="136"/>
      <c r="F437" s="15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35"/>
      <c r="R437" s="144"/>
      <c r="S437" s="144"/>
      <c r="T437" s="144"/>
      <c r="U437" s="135"/>
      <c r="V437" s="135"/>
    </row>
    <row r="438" spans="4:22" ht="24.75" customHeight="1">
      <c r="D438" s="142"/>
      <c r="E438" s="136"/>
      <c r="F438" s="15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35"/>
      <c r="R438" s="144"/>
      <c r="S438" s="144"/>
      <c r="T438" s="144"/>
      <c r="U438" s="135"/>
      <c r="V438" s="135"/>
    </row>
    <row r="439" spans="4:22" ht="24.75" customHeight="1">
      <c r="D439" s="142"/>
      <c r="E439" s="136"/>
      <c r="F439" s="15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35"/>
      <c r="R439" s="144"/>
      <c r="S439" s="144"/>
      <c r="T439" s="144"/>
      <c r="U439" s="135"/>
      <c r="V439" s="135"/>
    </row>
    <row r="440" spans="4:22" ht="24.75" customHeight="1">
      <c r="D440" s="142"/>
      <c r="E440" s="136"/>
      <c r="F440" s="15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35"/>
      <c r="R440" s="144"/>
      <c r="S440" s="144"/>
      <c r="T440" s="144"/>
      <c r="U440" s="135"/>
      <c r="V440" s="135"/>
    </row>
    <row r="441" spans="4:22" ht="24.75" customHeight="1">
      <c r="D441" s="142"/>
      <c r="E441" s="136"/>
      <c r="F441" s="15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35"/>
      <c r="R441" s="144"/>
      <c r="S441" s="144"/>
      <c r="T441" s="144"/>
      <c r="U441" s="135"/>
      <c r="V441" s="135"/>
    </row>
    <row r="442" spans="4:22" ht="24.75" customHeight="1">
      <c r="D442" s="142"/>
      <c r="E442" s="136"/>
      <c r="F442" s="15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35"/>
      <c r="R442" s="144"/>
      <c r="S442" s="144"/>
      <c r="T442" s="144"/>
      <c r="U442" s="135"/>
      <c r="V442" s="135"/>
    </row>
    <row r="443" spans="4:22" ht="24.75" customHeight="1">
      <c r="D443" s="142"/>
      <c r="E443" s="136"/>
      <c r="F443" s="15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35"/>
      <c r="R443" s="144"/>
      <c r="S443" s="144"/>
      <c r="T443" s="144"/>
      <c r="U443" s="135"/>
      <c r="V443" s="135"/>
    </row>
    <row r="444" spans="4:22" ht="24.75" customHeight="1">
      <c r="D444" s="142"/>
      <c r="E444" s="136"/>
      <c r="F444" s="15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35"/>
      <c r="R444" s="144"/>
      <c r="S444" s="144"/>
      <c r="T444" s="144"/>
      <c r="U444" s="135"/>
      <c r="V444" s="135"/>
    </row>
    <row r="445" spans="4:22" ht="24.75" customHeight="1">
      <c r="D445" s="142"/>
      <c r="E445" s="136"/>
      <c r="F445" s="15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35"/>
      <c r="R445" s="144"/>
      <c r="S445" s="144"/>
      <c r="T445" s="144"/>
      <c r="U445" s="135"/>
      <c r="V445" s="135"/>
    </row>
    <row r="446" spans="4:22" ht="24.75" customHeight="1">
      <c r="D446" s="142"/>
      <c r="E446" s="136"/>
      <c r="F446" s="15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35"/>
      <c r="R446" s="144"/>
      <c r="S446" s="144"/>
      <c r="T446" s="144"/>
      <c r="U446" s="135"/>
      <c r="V446" s="135"/>
    </row>
    <row r="447" spans="4:22" ht="24.75" customHeight="1">
      <c r="D447" s="142"/>
      <c r="E447" s="136"/>
      <c r="F447" s="15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35"/>
      <c r="R447" s="144"/>
      <c r="S447" s="144"/>
      <c r="T447" s="144"/>
      <c r="U447" s="135"/>
      <c r="V447" s="135"/>
    </row>
    <row r="448" spans="4:22" ht="24.75" customHeight="1">
      <c r="D448" s="142"/>
      <c r="E448" s="136"/>
      <c r="F448" s="15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35"/>
      <c r="R448" s="144"/>
      <c r="S448" s="144"/>
      <c r="T448" s="144"/>
      <c r="U448" s="135"/>
      <c r="V448" s="135"/>
    </row>
    <row r="449" spans="4:22" ht="24.75" customHeight="1">
      <c r="D449" s="142"/>
      <c r="E449" s="136"/>
      <c r="F449" s="15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35"/>
      <c r="R449" s="144"/>
      <c r="S449" s="144"/>
      <c r="T449" s="144"/>
      <c r="U449" s="135"/>
      <c r="V449" s="135"/>
    </row>
    <row r="450" spans="4:22" ht="24.75" customHeight="1">
      <c r="D450" s="142"/>
      <c r="E450" s="136"/>
      <c r="F450" s="15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35"/>
      <c r="R450" s="144"/>
      <c r="S450" s="144"/>
      <c r="T450" s="144"/>
      <c r="U450" s="135"/>
      <c r="V450" s="135"/>
    </row>
    <row r="451" spans="4:22" ht="24.75" customHeight="1">
      <c r="D451" s="142"/>
      <c r="E451" s="136"/>
      <c r="F451" s="15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35"/>
      <c r="R451" s="144"/>
      <c r="S451" s="144"/>
      <c r="T451" s="144"/>
      <c r="U451" s="135"/>
      <c r="V451" s="135"/>
    </row>
    <row r="452" spans="4:22" ht="24.75" customHeight="1">
      <c r="D452" s="142"/>
      <c r="E452" s="136"/>
      <c r="F452" s="15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35"/>
      <c r="R452" s="144"/>
      <c r="S452" s="144"/>
      <c r="T452" s="144"/>
      <c r="U452" s="135"/>
      <c r="V452" s="135"/>
    </row>
    <row r="453" spans="4:22" ht="24.75" customHeight="1">
      <c r="D453" s="142"/>
      <c r="E453" s="136"/>
      <c r="F453" s="15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35"/>
      <c r="R453" s="144"/>
      <c r="S453" s="144"/>
      <c r="T453" s="144"/>
      <c r="U453" s="135"/>
      <c r="V453" s="135"/>
    </row>
    <row r="454" spans="4:22" ht="24.75" customHeight="1">
      <c r="D454" s="142"/>
      <c r="E454" s="136"/>
      <c r="F454" s="15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35"/>
      <c r="R454" s="144"/>
      <c r="S454" s="144"/>
      <c r="T454" s="144"/>
      <c r="U454" s="135"/>
      <c r="V454" s="135"/>
    </row>
    <row r="455" spans="4:22" ht="24.75" customHeight="1">
      <c r="D455" s="142"/>
      <c r="E455" s="136"/>
      <c r="F455" s="15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35"/>
      <c r="R455" s="144"/>
      <c r="S455" s="144"/>
      <c r="T455" s="144"/>
      <c r="U455" s="135"/>
      <c r="V455" s="135"/>
    </row>
    <row r="456" spans="4:22" ht="24.75" customHeight="1">
      <c r="D456" s="142"/>
      <c r="E456" s="136"/>
      <c r="F456" s="15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35"/>
      <c r="R456" s="144"/>
      <c r="S456" s="144"/>
      <c r="T456" s="144"/>
      <c r="U456" s="135"/>
      <c r="V456" s="135"/>
    </row>
    <row r="457" spans="4:22" ht="24.75" customHeight="1">
      <c r="D457" s="142"/>
      <c r="E457" s="136"/>
      <c r="F457" s="15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35"/>
      <c r="R457" s="144"/>
      <c r="S457" s="144"/>
      <c r="T457" s="144"/>
      <c r="U457" s="135"/>
      <c r="V457" s="135"/>
    </row>
    <row r="458" spans="4:22" ht="24.75" customHeight="1">
      <c r="D458" s="142"/>
      <c r="E458" s="136"/>
      <c r="F458" s="15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35"/>
      <c r="R458" s="144"/>
      <c r="S458" s="144"/>
      <c r="T458" s="144"/>
      <c r="U458" s="135"/>
      <c r="V458" s="135"/>
    </row>
    <row r="459" spans="4:22" ht="24.75" customHeight="1">
      <c r="D459" s="142"/>
      <c r="E459" s="136"/>
      <c r="F459" s="15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35"/>
      <c r="R459" s="144"/>
      <c r="S459" s="144"/>
      <c r="T459" s="144"/>
      <c r="U459" s="135"/>
      <c r="V459" s="135"/>
    </row>
    <row r="460" spans="4:22" ht="24.75" customHeight="1">
      <c r="D460" s="142"/>
      <c r="E460" s="136"/>
      <c r="F460" s="15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35"/>
      <c r="R460" s="144"/>
      <c r="S460" s="144"/>
      <c r="T460" s="144"/>
      <c r="U460" s="135"/>
      <c r="V460" s="135"/>
    </row>
    <row r="461" spans="4:22" ht="24.75" customHeight="1">
      <c r="D461" s="142"/>
      <c r="E461" s="136"/>
      <c r="F461" s="15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35"/>
      <c r="R461" s="144"/>
      <c r="S461" s="144"/>
      <c r="T461" s="144"/>
      <c r="U461" s="135"/>
      <c r="V461" s="135"/>
    </row>
    <row r="462" spans="4:22" ht="24.75" customHeight="1">
      <c r="D462" s="142"/>
      <c r="E462" s="136"/>
      <c r="F462" s="15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35"/>
      <c r="R462" s="144"/>
      <c r="S462" s="144"/>
      <c r="T462" s="144"/>
      <c r="U462" s="135"/>
      <c r="V462" s="135"/>
    </row>
    <row r="463" spans="4:22" ht="24.75" customHeight="1">
      <c r="D463" s="142"/>
      <c r="E463" s="136"/>
      <c r="F463" s="15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35"/>
      <c r="R463" s="144"/>
      <c r="S463" s="144"/>
      <c r="T463" s="144"/>
      <c r="U463" s="135"/>
      <c r="V463" s="135"/>
    </row>
    <row r="464" spans="4:22" ht="24.75" customHeight="1">
      <c r="D464" s="142"/>
      <c r="E464" s="136"/>
      <c r="F464" s="15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35"/>
      <c r="R464" s="144"/>
      <c r="S464" s="144"/>
      <c r="T464" s="144"/>
      <c r="U464" s="135"/>
      <c r="V464" s="135"/>
    </row>
    <row r="465" spans="4:22" ht="24.75" customHeight="1">
      <c r="D465" s="142"/>
      <c r="E465" s="136"/>
      <c r="F465" s="15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35"/>
      <c r="R465" s="144"/>
      <c r="S465" s="144"/>
      <c r="T465" s="144"/>
      <c r="U465" s="135"/>
      <c r="V465" s="135"/>
    </row>
    <row r="466" spans="4:22" ht="24.75" customHeight="1">
      <c r="D466" s="142"/>
      <c r="E466" s="136"/>
      <c r="F466" s="15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35"/>
      <c r="R466" s="144"/>
      <c r="S466" s="144"/>
      <c r="T466" s="144"/>
      <c r="U466" s="135"/>
      <c r="V466" s="135"/>
    </row>
    <row r="467" spans="4:22" ht="24.75" customHeight="1">
      <c r="D467" s="142"/>
      <c r="E467" s="136"/>
      <c r="F467" s="15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35"/>
      <c r="R467" s="144"/>
      <c r="S467" s="144"/>
      <c r="T467" s="144"/>
      <c r="U467" s="135"/>
      <c r="V467" s="135"/>
    </row>
    <row r="468" spans="4:22" ht="24.75" customHeight="1">
      <c r="D468" s="142"/>
      <c r="E468" s="136"/>
      <c r="F468" s="15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35"/>
      <c r="R468" s="144"/>
      <c r="S468" s="144"/>
      <c r="T468" s="144"/>
      <c r="U468" s="135"/>
      <c r="V468" s="135"/>
    </row>
    <row r="469" spans="4:22" ht="24.75" customHeight="1">
      <c r="D469" s="142"/>
      <c r="E469" s="136"/>
      <c r="F469" s="15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35"/>
      <c r="R469" s="144"/>
      <c r="S469" s="144"/>
      <c r="T469" s="144"/>
      <c r="U469" s="135"/>
      <c r="V469" s="135"/>
    </row>
    <row r="470" spans="4:22" ht="24.75" customHeight="1">
      <c r="D470" s="142"/>
      <c r="E470" s="136"/>
      <c r="F470" s="15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35"/>
      <c r="R470" s="144"/>
      <c r="S470" s="144"/>
      <c r="T470" s="144"/>
      <c r="U470" s="135"/>
      <c r="V470" s="135"/>
    </row>
    <row r="471" spans="4:22" ht="24.75" customHeight="1">
      <c r="D471" s="142"/>
      <c r="E471" s="136"/>
      <c r="F471" s="15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35"/>
      <c r="R471" s="144"/>
      <c r="S471" s="144"/>
      <c r="T471" s="144"/>
      <c r="U471" s="135"/>
      <c r="V471" s="135"/>
    </row>
    <row r="472" spans="4:22" ht="24.75" customHeight="1">
      <c r="D472" s="142"/>
      <c r="E472" s="136"/>
      <c r="F472" s="15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35"/>
      <c r="R472" s="144"/>
      <c r="S472" s="144"/>
      <c r="T472" s="144"/>
      <c r="U472" s="135"/>
      <c r="V472" s="135"/>
    </row>
    <row r="473" spans="4:22" ht="24.75" customHeight="1">
      <c r="D473" s="142"/>
      <c r="E473" s="136"/>
      <c r="F473" s="15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35"/>
      <c r="R473" s="144"/>
      <c r="S473" s="144"/>
      <c r="T473" s="144"/>
      <c r="U473" s="135"/>
      <c r="V473" s="135"/>
    </row>
    <row r="474" spans="4:22" ht="24.75" customHeight="1">
      <c r="D474" s="142"/>
      <c r="E474" s="136"/>
      <c r="F474" s="15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35"/>
      <c r="R474" s="144"/>
      <c r="S474" s="144"/>
      <c r="T474" s="144"/>
      <c r="U474" s="135"/>
      <c r="V474" s="135"/>
    </row>
    <row r="475" spans="4:22" ht="24.75" customHeight="1">
      <c r="D475" s="142"/>
      <c r="E475" s="136"/>
      <c r="F475" s="15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35"/>
      <c r="R475" s="144"/>
      <c r="S475" s="144"/>
      <c r="T475" s="144"/>
      <c r="U475" s="135"/>
      <c r="V475" s="135"/>
    </row>
    <row r="476" spans="4:22" ht="24.75" customHeight="1">
      <c r="D476" s="142"/>
      <c r="E476" s="136"/>
      <c r="F476" s="15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35"/>
      <c r="R476" s="144"/>
      <c r="S476" s="144"/>
      <c r="T476" s="144"/>
      <c r="U476" s="135"/>
      <c r="V476" s="135"/>
    </row>
    <row r="477" spans="4:22" ht="24.75" customHeight="1">
      <c r="D477" s="142"/>
      <c r="E477" s="136"/>
      <c r="F477" s="15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35"/>
      <c r="R477" s="144"/>
      <c r="S477" s="144"/>
      <c r="T477" s="144"/>
      <c r="U477" s="135"/>
      <c r="V477" s="135"/>
    </row>
    <row r="478" spans="4:22" ht="24.75" customHeight="1">
      <c r="D478" s="142"/>
      <c r="E478" s="136"/>
      <c r="F478" s="15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35"/>
      <c r="R478" s="144"/>
      <c r="S478" s="144"/>
      <c r="T478" s="144"/>
      <c r="U478" s="135"/>
      <c r="V478" s="135"/>
    </row>
    <row r="479" spans="4:22" ht="24.75" customHeight="1">
      <c r="D479" s="142"/>
      <c r="E479" s="136"/>
      <c r="F479" s="15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35"/>
      <c r="R479" s="144"/>
      <c r="S479" s="144"/>
      <c r="T479" s="144"/>
      <c r="U479" s="135"/>
      <c r="V479" s="135"/>
    </row>
    <row r="480" spans="4:22" ht="24.75" customHeight="1">
      <c r="D480" s="142"/>
      <c r="E480" s="136"/>
      <c r="F480" s="15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35"/>
      <c r="R480" s="144"/>
      <c r="S480" s="144"/>
      <c r="T480" s="144"/>
      <c r="U480" s="135"/>
      <c r="V480" s="135"/>
    </row>
    <row r="481" spans="4:22" ht="24.75" customHeight="1">
      <c r="D481" s="142"/>
      <c r="E481" s="136"/>
      <c r="F481" s="15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35"/>
      <c r="R481" s="144"/>
      <c r="S481" s="144"/>
      <c r="T481" s="144"/>
      <c r="U481" s="135"/>
      <c r="V481" s="135"/>
    </row>
    <row r="482" spans="4:22" ht="24.75" customHeight="1">
      <c r="D482" s="142"/>
      <c r="E482" s="136"/>
      <c r="F482" s="15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35"/>
      <c r="R482" s="144"/>
      <c r="S482" s="144"/>
      <c r="T482" s="144"/>
      <c r="U482" s="135"/>
      <c r="V482" s="135"/>
    </row>
    <row r="483" spans="4:22" ht="24.75" customHeight="1">
      <c r="D483" s="142"/>
      <c r="E483" s="136"/>
      <c r="F483" s="15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35"/>
      <c r="R483" s="144"/>
      <c r="S483" s="144"/>
      <c r="T483" s="144"/>
      <c r="U483" s="135"/>
      <c r="V483" s="135"/>
    </row>
    <row r="484" spans="4:22" ht="24.75" customHeight="1">
      <c r="D484" s="142"/>
      <c r="E484" s="136"/>
      <c r="F484" s="15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35"/>
      <c r="R484" s="144"/>
      <c r="S484" s="144"/>
      <c r="T484" s="144"/>
      <c r="U484" s="135"/>
      <c r="V484" s="135"/>
    </row>
    <row r="485" spans="4:22" ht="24.75" customHeight="1">
      <c r="D485" s="142"/>
      <c r="E485" s="136"/>
      <c r="F485" s="15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35"/>
      <c r="R485" s="144"/>
      <c r="S485" s="144"/>
      <c r="T485" s="144"/>
      <c r="U485" s="135"/>
      <c r="V485" s="135"/>
    </row>
    <row r="486" spans="4:22" ht="24.75" customHeight="1">
      <c r="D486" s="142"/>
      <c r="E486" s="136"/>
      <c r="F486" s="15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35"/>
      <c r="R486" s="144"/>
      <c r="S486" s="144"/>
      <c r="T486" s="144"/>
      <c r="U486" s="135"/>
      <c r="V486" s="135"/>
    </row>
    <row r="487" spans="4:22" ht="24.75" customHeight="1">
      <c r="D487" s="142"/>
      <c r="E487" s="136"/>
      <c r="F487" s="15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35"/>
      <c r="R487" s="144"/>
      <c r="S487" s="144"/>
      <c r="T487" s="144"/>
      <c r="U487" s="135"/>
      <c r="V487" s="135"/>
    </row>
    <row r="488" spans="4:22" ht="24.75" customHeight="1">
      <c r="D488" s="142"/>
      <c r="E488" s="136"/>
      <c r="F488" s="15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35"/>
      <c r="R488" s="144"/>
      <c r="S488" s="144"/>
      <c r="T488" s="144"/>
      <c r="U488" s="135"/>
      <c r="V488" s="135"/>
    </row>
    <row r="489" spans="4:22" ht="24.75" customHeight="1">
      <c r="D489" s="142"/>
      <c r="E489" s="136"/>
      <c r="F489" s="15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35"/>
      <c r="R489" s="144"/>
      <c r="S489" s="144"/>
      <c r="T489" s="144"/>
      <c r="U489" s="135"/>
      <c r="V489" s="135"/>
    </row>
    <row r="490" spans="4:22" ht="24.75" customHeight="1">
      <c r="D490" s="142"/>
      <c r="E490" s="136"/>
      <c r="F490" s="15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35"/>
      <c r="R490" s="144"/>
      <c r="S490" s="144"/>
      <c r="T490" s="144"/>
      <c r="U490" s="135"/>
      <c r="V490" s="135"/>
    </row>
    <row r="491" spans="4:22" ht="24.75" customHeight="1">
      <c r="D491" s="142"/>
      <c r="E491" s="136"/>
      <c r="F491" s="15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35"/>
      <c r="R491" s="144"/>
      <c r="S491" s="144"/>
      <c r="T491" s="144"/>
      <c r="U491" s="135"/>
      <c r="V491" s="135"/>
    </row>
    <row r="492" spans="4:22" ht="24.75" customHeight="1">
      <c r="D492" s="142"/>
      <c r="E492" s="136"/>
      <c r="F492" s="15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35"/>
      <c r="R492" s="144"/>
      <c r="S492" s="144"/>
      <c r="T492" s="144"/>
      <c r="U492" s="135"/>
      <c r="V492" s="135"/>
    </row>
    <row r="493" spans="4:22" ht="24.75" customHeight="1">
      <c r="D493" s="142"/>
      <c r="E493" s="136"/>
      <c r="F493" s="15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35"/>
      <c r="R493" s="144"/>
      <c r="S493" s="144"/>
      <c r="T493" s="144"/>
      <c r="U493" s="135"/>
      <c r="V493" s="135"/>
    </row>
    <row r="494" spans="4:22" ht="24.75" customHeight="1">
      <c r="D494" s="142"/>
      <c r="E494" s="136"/>
      <c r="F494" s="15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35"/>
      <c r="R494" s="144"/>
      <c r="S494" s="144"/>
      <c r="T494" s="144"/>
      <c r="U494" s="135"/>
      <c r="V494" s="135"/>
    </row>
    <row r="495" spans="4:22" ht="24.75" customHeight="1">
      <c r="D495" s="142"/>
      <c r="E495" s="136"/>
      <c r="F495" s="15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35"/>
      <c r="R495" s="144"/>
      <c r="S495" s="144"/>
      <c r="T495" s="144"/>
      <c r="U495" s="135"/>
      <c r="V495" s="135"/>
    </row>
    <row r="496" spans="4:22" ht="24.75" customHeight="1">
      <c r="D496" s="142"/>
      <c r="E496" s="136"/>
      <c r="F496" s="15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35"/>
      <c r="R496" s="144"/>
      <c r="S496" s="144"/>
      <c r="T496" s="144"/>
      <c r="U496" s="135"/>
      <c r="V496" s="135"/>
    </row>
    <row r="497" spans="4:22" ht="24.75" customHeight="1">
      <c r="D497" s="142"/>
      <c r="E497" s="136"/>
      <c r="F497" s="15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35"/>
      <c r="R497" s="144"/>
      <c r="S497" s="144"/>
      <c r="T497" s="144"/>
      <c r="U497" s="135"/>
      <c r="V497" s="135"/>
    </row>
    <row r="498" spans="4:22" ht="24.75" customHeight="1">
      <c r="D498" s="142"/>
      <c r="E498" s="136"/>
      <c r="F498" s="15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35"/>
      <c r="R498" s="144"/>
      <c r="S498" s="144"/>
      <c r="T498" s="144"/>
      <c r="U498" s="135"/>
      <c r="V498" s="135"/>
    </row>
    <row r="499" spans="4:22" ht="24.75" customHeight="1">
      <c r="D499" s="142"/>
      <c r="E499" s="136"/>
      <c r="F499" s="15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35"/>
      <c r="R499" s="144"/>
      <c r="S499" s="144"/>
      <c r="T499" s="144"/>
      <c r="U499" s="135"/>
      <c r="V499" s="135"/>
    </row>
    <row r="500" spans="4:22" ht="24.75" customHeight="1">
      <c r="D500" s="142"/>
      <c r="E500" s="136"/>
      <c r="F500" s="15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35"/>
      <c r="R500" s="144"/>
      <c r="S500" s="144"/>
      <c r="T500" s="144"/>
      <c r="U500" s="135"/>
      <c r="V500" s="135"/>
    </row>
    <row r="501" spans="4:22" ht="24.75" customHeight="1">
      <c r="D501" s="142"/>
      <c r="E501" s="136"/>
      <c r="F501" s="15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35"/>
      <c r="R501" s="144"/>
      <c r="S501" s="144"/>
      <c r="T501" s="144"/>
      <c r="U501" s="135"/>
      <c r="V501" s="135"/>
    </row>
    <row r="502" spans="4:22" ht="24.75" customHeight="1">
      <c r="D502" s="142"/>
      <c r="E502" s="136"/>
      <c r="F502" s="15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35"/>
      <c r="R502" s="144"/>
      <c r="S502" s="144"/>
      <c r="T502" s="144"/>
      <c r="U502" s="135"/>
      <c r="V502" s="135"/>
    </row>
    <row r="503" spans="4:22" ht="24.75" customHeight="1">
      <c r="D503" s="142"/>
      <c r="E503" s="136"/>
      <c r="F503" s="15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35"/>
      <c r="R503" s="144"/>
      <c r="S503" s="144"/>
      <c r="T503" s="144"/>
      <c r="U503" s="135"/>
      <c r="V503" s="135"/>
    </row>
    <row r="504" spans="4:22" ht="24.75" customHeight="1">
      <c r="D504" s="142"/>
      <c r="E504" s="136"/>
      <c r="F504" s="15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35"/>
      <c r="R504" s="144"/>
      <c r="S504" s="144"/>
      <c r="T504" s="144"/>
      <c r="U504" s="135"/>
      <c r="V504" s="135"/>
    </row>
    <row r="505" spans="4:22" ht="24.75" customHeight="1">
      <c r="D505" s="142"/>
      <c r="E505" s="136"/>
      <c r="F505" s="15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35"/>
      <c r="R505" s="144"/>
      <c r="S505" s="144"/>
      <c r="T505" s="144"/>
      <c r="U505" s="135"/>
      <c r="V505" s="135"/>
    </row>
    <row r="506" spans="4:22" ht="24.75" customHeight="1">
      <c r="D506" s="142"/>
      <c r="E506" s="136"/>
      <c r="F506" s="15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35"/>
      <c r="R506" s="144"/>
      <c r="S506" s="144"/>
      <c r="T506" s="144"/>
      <c r="U506" s="135"/>
      <c r="V506" s="135"/>
    </row>
    <row r="507" spans="4:22" ht="24.75" customHeight="1">
      <c r="D507" s="142"/>
      <c r="E507" s="136"/>
      <c r="F507" s="15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35"/>
      <c r="R507" s="144"/>
      <c r="S507" s="144"/>
      <c r="T507" s="144"/>
      <c r="U507" s="135"/>
      <c r="V507" s="135"/>
    </row>
    <row r="508" spans="4:22" ht="24.75" customHeight="1">
      <c r="D508" s="142"/>
      <c r="E508" s="136"/>
      <c r="F508" s="15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35"/>
      <c r="R508" s="144"/>
      <c r="S508" s="144"/>
      <c r="T508" s="144"/>
      <c r="U508" s="135"/>
      <c r="V508" s="135"/>
    </row>
    <row r="509" spans="4:22" ht="24.75" customHeight="1">
      <c r="D509" s="142"/>
      <c r="E509" s="136"/>
      <c r="F509" s="15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35"/>
      <c r="R509" s="144"/>
      <c r="S509" s="144"/>
      <c r="T509" s="144"/>
      <c r="U509" s="135"/>
      <c r="V509" s="135"/>
    </row>
    <row r="510" spans="4:22" ht="24.75" customHeight="1">
      <c r="D510" s="142"/>
      <c r="E510" s="136"/>
      <c r="F510" s="15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35"/>
      <c r="R510" s="144"/>
      <c r="S510" s="144"/>
      <c r="T510" s="144"/>
      <c r="U510" s="135"/>
      <c r="V510" s="135"/>
    </row>
    <row r="511" spans="4:22" ht="24.75" customHeight="1">
      <c r="D511" s="142"/>
      <c r="E511" s="136"/>
      <c r="F511" s="15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35"/>
      <c r="R511" s="144"/>
      <c r="S511" s="144"/>
      <c r="T511" s="144"/>
      <c r="U511" s="135"/>
      <c r="V511" s="135"/>
    </row>
    <row r="512" spans="4:22" ht="24.75" customHeight="1">
      <c r="D512" s="142"/>
      <c r="E512" s="136"/>
      <c r="F512" s="15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35"/>
      <c r="R512" s="144"/>
      <c r="S512" s="144"/>
      <c r="T512" s="144"/>
      <c r="U512" s="135"/>
      <c r="V512" s="135"/>
    </row>
    <row r="513" spans="4:22" ht="24.75" customHeight="1">
      <c r="D513" s="142"/>
      <c r="E513" s="136"/>
      <c r="F513" s="15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35"/>
      <c r="R513" s="144"/>
      <c r="S513" s="144"/>
      <c r="T513" s="144"/>
      <c r="U513" s="135"/>
      <c r="V513" s="135"/>
    </row>
    <row r="514" spans="4:22" ht="24.75" customHeight="1">
      <c r="D514" s="142"/>
      <c r="E514" s="136"/>
      <c r="F514" s="15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35"/>
      <c r="R514" s="144"/>
      <c r="S514" s="144"/>
      <c r="T514" s="144"/>
      <c r="U514" s="135"/>
      <c r="V514" s="135"/>
    </row>
    <row r="515" spans="4:22" ht="24.75" customHeight="1">
      <c r="D515" s="142"/>
      <c r="E515" s="136"/>
      <c r="F515" s="15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35"/>
      <c r="R515" s="144"/>
      <c r="S515" s="144"/>
      <c r="T515" s="144"/>
      <c r="U515" s="135"/>
      <c r="V515" s="135"/>
    </row>
    <row r="516" spans="4:22" ht="24.75" customHeight="1">
      <c r="D516" s="142"/>
      <c r="E516" s="136"/>
      <c r="F516" s="15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35"/>
      <c r="R516" s="144"/>
      <c r="S516" s="144"/>
      <c r="T516" s="144"/>
      <c r="U516" s="135"/>
      <c r="V516" s="135"/>
    </row>
    <row r="517" spans="4:22" ht="24.75" customHeight="1">
      <c r="D517" s="142"/>
      <c r="E517" s="136"/>
      <c r="F517" s="15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35"/>
      <c r="R517" s="144"/>
      <c r="S517" s="144"/>
      <c r="T517" s="144"/>
      <c r="U517" s="135"/>
      <c r="V517" s="135"/>
    </row>
    <row r="518" spans="4:22" ht="24.75" customHeight="1">
      <c r="D518" s="142"/>
      <c r="E518" s="136"/>
      <c r="F518" s="15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35"/>
      <c r="R518" s="144"/>
      <c r="S518" s="144"/>
      <c r="T518" s="144"/>
      <c r="U518" s="135"/>
      <c r="V518" s="135"/>
    </row>
    <row r="519" spans="4:22" ht="24.75" customHeight="1">
      <c r="D519" s="142"/>
      <c r="E519" s="136"/>
      <c r="F519" s="15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35"/>
      <c r="R519" s="144"/>
      <c r="S519" s="144"/>
      <c r="T519" s="144"/>
      <c r="U519" s="135"/>
      <c r="V519" s="135"/>
    </row>
    <row r="520" spans="4:22" ht="24.75" customHeight="1">
      <c r="D520" s="142"/>
      <c r="E520" s="136"/>
      <c r="F520" s="15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35"/>
      <c r="R520" s="144"/>
      <c r="S520" s="144"/>
      <c r="T520" s="144"/>
      <c r="U520" s="135"/>
      <c r="V520" s="135"/>
    </row>
    <row r="521" spans="4:22" ht="24.75" customHeight="1">
      <c r="D521" s="142"/>
      <c r="E521" s="136"/>
      <c r="F521" s="15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35"/>
      <c r="R521" s="144"/>
      <c r="S521" s="144"/>
      <c r="T521" s="144"/>
      <c r="U521" s="135"/>
      <c r="V521" s="135"/>
    </row>
    <row r="522" spans="4:22" ht="24.75" customHeight="1">
      <c r="D522" s="142"/>
      <c r="E522" s="136"/>
      <c r="F522" s="15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35"/>
      <c r="R522" s="144"/>
      <c r="S522" s="144"/>
      <c r="T522" s="144"/>
      <c r="U522" s="135"/>
      <c r="V522" s="135"/>
    </row>
    <row r="523" spans="4:22" ht="24.75" customHeight="1">
      <c r="D523" s="142"/>
      <c r="E523" s="136"/>
      <c r="F523" s="15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35"/>
      <c r="R523" s="144"/>
      <c r="S523" s="144"/>
      <c r="T523" s="144"/>
      <c r="U523" s="135"/>
      <c r="V523" s="135"/>
    </row>
    <row r="524" spans="4:22" ht="24.75" customHeight="1">
      <c r="D524" s="142"/>
      <c r="E524" s="136"/>
      <c r="F524" s="15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35"/>
      <c r="R524" s="144"/>
      <c r="S524" s="144"/>
      <c r="T524" s="144"/>
      <c r="U524" s="135"/>
      <c r="V524" s="135"/>
    </row>
    <row r="525" spans="4:22" ht="24.75" customHeight="1">
      <c r="D525" s="142"/>
      <c r="E525" s="136"/>
      <c r="F525" s="15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35"/>
      <c r="R525" s="144"/>
      <c r="S525" s="144"/>
      <c r="T525" s="144"/>
      <c r="U525" s="135"/>
      <c r="V525" s="135"/>
    </row>
    <row r="526" spans="4:22" ht="24.75" customHeight="1">
      <c r="D526" s="142"/>
      <c r="E526" s="136"/>
      <c r="F526" s="15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35"/>
      <c r="R526" s="144"/>
      <c r="S526" s="144"/>
      <c r="T526" s="144"/>
      <c r="U526" s="135"/>
      <c r="V526" s="135"/>
    </row>
    <row r="527" spans="4:22" ht="24.75" customHeight="1">
      <c r="D527" s="142"/>
      <c r="E527" s="136"/>
      <c r="F527" s="15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35"/>
      <c r="R527" s="144"/>
      <c r="S527" s="144"/>
      <c r="T527" s="144"/>
      <c r="U527" s="135"/>
      <c r="V527" s="135"/>
    </row>
    <row r="528" spans="4:22" ht="24.75" customHeight="1">
      <c r="D528" s="142"/>
      <c r="E528" s="136"/>
      <c r="F528" s="15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35"/>
      <c r="R528" s="144"/>
      <c r="S528" s="144"/>
      <c r="T528" s="144"/>
      <c r="U528" s="135"/>
      <c r="V528" s="135"/>
    </row>
    <row r="529" spans="4:22" ht="24.75" customHeight="1">
      <c r="D529" s="142"/>
      <c r="E529" s="136"/>
      <c r="F529" s="15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35"/>
      <c r="R529" s="144"/>
      <c r="S529" s="144"/>
      <c r="T529" s="144"/>
      <c r="U529" s="135"/>
      <c r="V529" s="135"/>
    </row>
    <row r="530" spans="4:22" ht="24.75" customHeight="1">
      <c r="D530" s="142"/>
      <c r="E530" s="136"/>
      <c r="F530" s="15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35"/>
      <c r="R530" s="144"/>
      <c r="S530" s="144"/>
      <c r="T530" s="144"/>
      <c r="U530" s="135"/>
      <c r="V530" s="135"/>
    </row>
    <row r="531" spans="4:22" ht="24.75" customHeight="1">
      <c r="D531" s="142"/>
      <c r="E531" s="136"/>
      <c r="F531" s="15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35"/>
      <c r="R531" s="144"/>
      <c r="S531" s="144"/>
      <c r="T531" s="144"/>
      <c r="U531" s="135"/>
      <c r="V531" s="135"/>
    </row>
    <row r="532" spans="4:22" ht="24.75" customHeight="1">
      <c r="D532" s="142"/>
      <c r="E532" s="136"/>
      <c r="F532" s="15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35"/>
      <c r="R532" s="144"/>
      <c r="S532" s="144"/>
      <c r="T532" s="144"/>
      <c r="U532" s="135"/>
      <c r="V532" s="135"/>
    </row>
    <row r="533" spans="4:22" ht="24.75" customHeight="1">
      <c r="D533" s="142"/>
      <c r="E533" s="136"/>
      <c r="F533" s="15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35"/>
      <c r="R533" s="144"/>
      <c r="S533" s="144"/>
      <c r="T533" s="144"/>
      <c r="U533" s="135"/>
      <c r="V533" s="135"/>
    </row>
    <row r="534" spans="4:22" ht="24.75" customHeight="1">
      <c r="D534" s="142"/>
      <c r="E534" s="136"/>
      <c r="F534" s="15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35"/>
      <c r="R534" s="144"/>
      <c r="S534" s="144"/>
      <c r="T534" s="144"/>
      <c r="U534" s="135"/>
      <c r="V534" s="135"/>
    </row>
    <row r="535" spans="4:22" ht="24.75" customHeight="1">
      <c r="D535" s="142"/>
      <c r="E535" s="136"/>
      <c r="F535" s="15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35"/>
      <c r="R535" s="144"/>
      <c r="S535" s="144"/>
      <c r="T535" s="144"/>
      <c r="U535" s="135"/>
      <c r="V535" s="135"/>
    </row>
    <row r="536" spans="4:22" ht="24.75" customHeight="1">
      <c r="D536" s="142"/>
      <c r="E536" s="136"/>
      <c r="F536" s="15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35"/>
      <c r="R536" s="144"/>
      <c r="S536" s="144"/>
      <c r="T536" s="144"/>
      <c r="U536" s="135"/>
      <c r="V536" s="135"/>
    </row>
    <row r="537" spans="4:22" ht="24.75" customHeight="1">
      <c r="D537" s="142"/>
      <c r="E537" s="136"/>
      <c r="F537" s="15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35"/>
      <c r="R537" s="144"/>
      <c r="S537" s="144"/>
      <c r="T537" s="144"/>
      <c r="U537" s="135"/>
      <c r="V537" s="135"/>
    </row>
    <row r="538" spans="4:22" ht="24.75" customHeight="1">
      <c r="D538" s="142"/>
      <c r="E538" s="136"/>
      <c r="F538" s="15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35"/>
      <c r="R538" s="144"/>
      <c r="S538" s="144"/>
      <c r="T538" s="144"/>
      <c r="U538" s="135"/>
      <c r="V538" s="135"/>
    </row>
    <row r="539" spans="4:22" ht="24.75" customHeight="1">
      <c r="D539" s="142"/>
      <c r="E539" s="136"/>
      <c r="F539" s="15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35"/>
      <c r="R539" s="144"/>
      <c r="S539" s="144"/>
      <c r="T539" s="144"/>
      <c r="U539" s="135"/>
      <c r="V539" s="135"/>
    </row>
    <row r="540" spans="4:22" ht="24.75" customHeight="1">
      <c r="D540" s="142"/>
      <c r="E540" s="136"/>
      <c r="F540" s="15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35"/>
      <c r="R540" s="144"/>
      <c r="S540" s="144"/>
      <c r="T540" s="144"/>
      <c r="U540" s="135"/>
      <c r="V540" s="135"/>
    </row>
    <row r="541" spans="4:22" ht="24.75" customHeight="1">
      <c r="D541" s="142"/>
      <c r="E541" s="136"/>
      <c r="F541" s="15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35"/>
      <c r="R541" s="144"/>
      <c r="S541" s="144"/>
      <c r="T541" s="144"/>
      <c r="U541" s="135"/>
      <c r="V541" s="135"/>
    </row>
    <row r="542" spans="4:22" ht="24.75" customHeight="1">
      <c r="D542" s="142"/>
      <c r="E542" s="136"/>
      <c r="F542" s="15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35"/>
      <c r="R542" s="144"/>
      <c r="S542" s="144"/>
      <c r="T542" s="144"/>
      <c r="U542" s="135"/>
      <c r="V542" s="135"/>
    </row>
    <row r="543" spans="4:22" ht="24.75" customHeight="1">
      <c r="D543" s="142"/>
      <c r="E543" s="136"/>
      <c r="F543" s="15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35"/>
      <c r="R543" s="144"/>
      <c r="S543" s="144"/>
      <c r="T543" s="144"/>
      <c r="U543" s="135"/>
      <c r="V543" s="135"/>
    </row>
    <row r="544" spans="4:22" ht="24.75" customHeight="1">
      <c r="D544" s="142"/>
      <c r="E544" s="136"/>
      <c r="F544" s="15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35"/>
      <c r="R544" s="144"/>
      <c r="S544" s="144"/>
      <c r="T544" s="144"/>
      <c r="U544" s="135"/>
      <c r="V544" s="135"/>
    </row>
    <row r="545" spans="4:22" ht="24.75" customHeight="1">
      <c r="D545" s="142"/>
      <c r="E545" s="136"/>
      <c r="F545" s="15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35"/>
      <c r="R545" s="144"/>
      <c r="S545" s="144"/>
      <c r="T545" s="144"/>
      <c r="U545" s="135"/>
      <c r="V545" s="135"/>
    </row>
    <row r="546" spans="4:22" ht="24.75" customHeight="1">
      <c r="D546" s="142"/>
      <c r="E546" s="136"/>
      <c r="F546" s="15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35"/>
      <c r="R546" s="144"/>
      <c r="S546" s="144"/>
      <c r="T546" s="144"/>
      <c r="U546" s="135"/>
      <c r="V546" s="135"/>
    </row>
    <row r="547" spans="4:22" ht="24.75" customHeight="1">
      <c r="D547" s="142"/>
      <c r="E547" s="136"/>
      <c r="F547" s="15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35"/>
      <c r="R547" s="144"/>
      <c r="S547" s="144"/>
      <c r="T547" s="144"/>
      <c r="U547" s="135"/>
      <c r="V547" s="135"/>
    </row>
    <row r="548" spans="4:22" ht="24.75" customHeight="1">
      <c r="D548" s="142"/>
      <c r="E548" s="136"/>
      <c r="F548" s="15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35"/>
      <c r="R548" s="144"/>
      <c r="S548" s="144"/>
      <c r="T548" s="144"/>
      <c r="U548" s="135"/>
      <c r="V548" s="135"/>
    </row>
    <row r="549" spans="4:22" ht="24.75" customHeight="1">
      <c r="D549" s="142"/>
      <c r="E549" s="136"/>
      <c r="F549" s="15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35"/>
      <c r="R549" s="144"/>
      <c r="S549" s="144"/>
      <c r="T549" s="144"/>
      <c r="U549" s="135"/>
      <c r="V549" s="135"/>
    </row>
    <row r="550" spans="4:22" ht="24.75" customHeight="1">
      <c r="D550" s="142"/>
      <c r="E550" s="136"/>
      <c r="F550" s="15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35"/>
      <c r="R550" s="144"/>
      <c r="S550" s="144"/>
      <c r="T550" s="144"/>
      <c r="U550" s="135"/>
      <c r="V550" s="135"/>
    </row>
    <row r="551" spans="4:22" ht="24.75" customHeight="1">
      <c r="D551" s="142"/>
      <c r="E551" s="136"/>
      <c r="F551" s="15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35"/>
      <c r="R551" s="144"/>
      <c r="S551" s="144"/>
      <c r="T551" s="144"/>
      <c r="U551" s="135"/>
      <c r="V551" s="135"/>
    </row>
    <row r="552" spans="4:22" ht="24.75" customHeight="1">
      <c r="D552" s="142"/>
      <c r="E552" s="136"/>
      <c r="F552" s="15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35"/>
      <c r="R552" s="144"/>
      <c r="S552" s="144"/>
      <c r="T552" s="144"/>
      <c r="U552" s="135"/>
      <c r="V552" s="135"/>
    </row>
    <row r="553" spans="4:22" ht="24.75" customHeight="1">
      <c r="D553" s="142"/>
      <c r="E553" s="136"/>
      <c r="F553" s="15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35"/>
      <c r="R553" s="144"/>
      <c r="S553" s="144"/>
      <c r="T553" s="144"/>
      <c r="U553" s="135"/>
      <c r="V553" s="135"/>
    </row>
    <row r="554" spans="4:22" ht="24.75" customHeight="1">
      <c r="D554" s="142"/>
      <c r="E554" s="136"/>
      <c r="F554" s="15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35"/>
      <c r="R554" s="144"/>
      <c r="S554" s="144"/>
      <c r="T554" s="144"/>
      <c r="U554" s="135"/>
      <c r="V554" s="135"/>
    </row>
    <row r="555" spans="4:22" ht="24.75" customHeight="1">
      <c r="D555" s="142"/>
      <c r="E555" s="136"/>
      <c r="F555" s="15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35"/>
      <c r="R555" s="144"/>
      <c r="S555" s="144"/>
      <c r="T555" s="144"/>
      <c r="U555" s="135"/>
      <c r="V555" s="135"/>
    </row>
    <row r="556" spans="4:22" ht="24.75" customHeight="1">
      <c r="D556" s="142"/>
      <c r="E556" s="136"/>
      <c r="F556" s="15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35"/>
      <c r="R556" s="144"/>
      <c r="S556" s="144"/>
      <c r="T556" s="144"/>
      <c r="U556" s="135"/>
      <c r="V556" s="135"/>
    </row>
    <row r="557" spans="4:22" ht="24.75" customHeight="1">
      <c r="D557" s="142"/>
      <c r="E557" s="136"/>
      <c r="F557" s="15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35"/>
      <c r="R557" s="144"/>
      <c r="S557" s="144"/>
      <c r="T557" s="144"/>
      <c r="U557" s="135"/>
      <c r="V557" s="135"/>
    </row>
    <row r="558" spans="4:22" ht="24.75" customHeight="1">
      <c r="D558" s="142"/>
      <c r="E558" s="136"/>
      <c r="F558" s="15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35"/>
      <c r="R558" s="144"/>
      <c r="S558" s="144"/>
      <c r="T558" s="144"/>
      <c r="U558" s="135"/>
      <c r="V558" s="135"/>
    </row>
    <row r="559" spans="4:22" ht="24.75" customHeight="1">
      <c r="D559" s="142"/>
      <c r="E559" s="136"/>
      <c r="F559" s="15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35"/>
      <c r="R559" s="144"/>
      <c r="S559" s="144"/>
      <c r="T559" s="144"/>
      <c r="U559" s="135"/>
      <c r="V559" s="135"/>
    </row>
    <row r="560" spans="4:22" ht="24.75" customHeight="1">
      <c r="D560" s="142"/>
      <c r="E560" s="136"/>
      <c r="F560" s="15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35"/>
      <c r="R560" s="144"/>
      <c r="S560" s="144"/>
      <c r="T560" s="144"/>
      <c r="U560" s="135"/>
      <c r="V560" s="135"/>
    </row>
    <row r="561" spans="4:22" ht="24.75" customHeight="1">
      <c r="D561" s="142"/>
      <c r="E561" s="136"/>
      <c r="F561" s="15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35"/>
      <c r="R561" s="144"/>
      <c r="S561" s="144"/>
      <c r="T561" s="144"/>
      <c r="U561" s="135"/>
      <c r="V561" s="135"/>
    </row>
    <row r="562" spans="4:22" ht="24.75" customHeight="1">
      <c r="D562" s="142"/>
      <c r="E562" s="136"/>
      <c r="F562" s="15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35"/>
      <c r="R562" s="144"/>
      <c r="S562" s="144"/>
      <c r="T562" s="144"/>
      <c r="U562" s="135"/>
      <c r="V562" s="135"/>
    </row>
    <row r="563" spans="4:22" ht="24.75" customHeight="1">
      <c r="D563" s="142"/>
      <c r="E563" s="136"/>
      <c r="F563" s="15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35"/>
      <c r="R563" s="144"/>
      <c r="S563" s="144"/>
      <c r="T563" s="144"/>
      <c r="U563" s="135"/>
      <c r="V563" s="135"/>
    </row>
    <row r="564" spans="4:22" ht="24.75" customHeight="1">
      <c r="D564" s="142"/>
      <c r="E564" s="136"/>
      <c r="F564" s="15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35"/>
      <c r="R564" s="144"/>
      <c r="S564" s="144"/>
      <c r="T564" s="144"/>
      <c r="U564" s="135"/>
      <c r="V564" s="135"/>
    </row>
    <row r="565" spans="4:22" ht="24.75" customHeight="1">
      <c r="D565" s="142"/>
      <c r="E565" s="136"/>
      <c r="F565" s="15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35"/>
      <c r="R565" s="144"/>
      <c r="S565" s="144"/>
      <c r="T565" s="144"/>
      <c r="U565" s="135"/>
      <c r="V565" s="135"/>
    </row>
    <row r="566" spans="4:22" ht="24.75" customHeight="1">
      <c r="D566" s="142"/>
      <c r="E566" s="136"/>
      <c r="F566" s="15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35"/>
      <c r="R566" s="144"/>
      <c r="S566" s="144"/>
      <c r="T566" s="144"/>
      <c r="U566" s="135"/>
      <c r="V566" s="135"/>
    </row>
    <row r="567" spans="4:22" ht="24.75" customHeight="1">
      <c r="D567" s="142"/>
      <c r="E567" s="136"/>
      <c r="F567" s="15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35"/>
      <c r="R567" s="144"/>
      <c r="S567" s="144"/>
      <c r="T567" s="144"/>
      <c r="U567" s="135"/>
      <c r="V567" s="135"/>
    </row>
    <row r="568" spans="4:22" ht="24.75" customHeight="1">
      <c r="D568" s="142"/>
      <c r="E568" s="136"/>
      <c r="F568" s="15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35"/>
      <c r="R568" s="144"/>
      <c r="S568" s="144"/>
      <c r="T568" s="144"/>
      <c r="U568" s="135"/>
      <c r="V568" s="135"/>
    </row>
    <row r="569" spans="4:22" ht="24.75" customHeight="1">
      <c r="D569" s="142"/>
      <c r="E569" s="136"/>
      <c r="F569" s="15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35"/>
      <c r="R569" s="144"/>
      <c r="S569" s="144"/>
      <c r="T569" s="144"/>
      <c r="U569" s="135"/>
      <c r="V569" s="135"/>
    </row>
    <row r="570" spans="4:22" ht="24.75" customHeight="1">
      <c r="D570" s="142"/>
      <c r="E570" s="136"/>
      <c r="F570" s="15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35"/>
      <c r="R570" s="144"/>
      <c r="S570" s="144"/>
      <c r="T570" s="144"/>
      <c r="U570" s="135"/>
      <c r="V570" s="135"/>
    </row>
    <row r="571" spans="4:22" ht="24.75" customHeight="1">
      <c r="D571" s="142"/>
      <c r="E571" s="136"/>
      <c r="F571" s="15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35"/>
      <c r="R571" s="144"/>
      <c r="S571" s="144"/>
      <c r="T571" s="144"/>
      <c r="U571" s="135"/>
      <c r="V571" s="135"/>
    </row>
    <row r="572" spans="4:22" ht="24.75" customHeight="1">
      <c r="D572" s="142"/>
      <c r="E572" s="136"/>
      <c r="F572" s="15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35"/>
      <c r="R572" s="144"/>
      <c r="S572" s="144"/>
      <c r="T572" s="144"/>
      <c r="U572" s="135"/>
      <c r="V572" s="135"/>
    </row>
    <row r="573" spans="4:22" ht="24.75" customHeight="1">
      <c r="D573" s="142"/>
      <c r="E573" s="136"/>
      <c r="F573" s="15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35"/>
      <c r="R573" s="144"/>
      <c r="S573" s="144"/>
      <c r="T573" s="144"/>
      <c r="U573" s="135"/>
      <c r="V573" s="135"/>
    </row>
    <row r="574" spans="4:22" ht="24.75" customHeight="1">
      <c r="D574" s="142"/>
      <c r="E574" s="136"/>
      <c r="F574" s="15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35"/>
      <c r="R574" s="144"/>
      <c r="S574" s="144"/>
      <c r="T574" s="144"/>
      <c r="U574" s="135"/>
      <c r="V574" s="135"/>
    </row>
    <row r="575" spans="4:22" ht="24.75" customHeight="1">
      <c r="D575" s="142"/>
      <c r="E575" s="136"/>
      <c r="F575" s="15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35"/>
      <c r="R575" s="144"/>
      <c r="S575" s="144"/>
      <c r="T575" s="144"/>
      <c r="U575" s="135"/>
      <c r="V575" s="135"/>
    </row>
    <row r="576" spans="4:22" ht="24.75" customHeight="1">
      <c r="D576" s="142"/>
      <c r="E576" s="136"/>
      <c r="F576" s="15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35"/>
      <c r="R576" s="144"/>
      <c r="S576" s="144"/>
      <c r="T576" s="144"/>
      <c r="U576" s="135"/>
      <c r="V576" s="135"/>
    </row>
    <row r="577" spans="4:22" ht="24.75" customHeight="1">
      <c r="D577" s="142"/>
      <c r="E577" s="136"/>
      <c r="F577" s="15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35"/>
      <c r="R577" s="144"/>
      <c r="S577" s="144"/>
      <c r="T577" s="144"/>
      <c r="U577" s="135"/>
      <c r="V577" s="135"/>
    </row>
    <row r="578" spans="4:22" ht="24.75" customHeight="1">
      <c r="D578" s="142"/>
      <c r="E578" s="136"/>
      <c r="F578" s="15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35"/>
      <c r="R578" s="144"/>
      <c r="S578" s="144"/>
      <c r="T578" s="144"/>
      <c r="U578" s="135"/>
      <c r="V578" s="135"/>
    </row>
    <row r="579" spans="4:22" ht="24.75" customHeight="1">
      <c r="D579" s="142"/>
      <c r="E579" s="136"/>
      <c r="F579" s="15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35"/>
      <c r="R579" s="144"/>
      <c r="S579" s="144"/>
      <c r="T579" s="144"/>
      <c r="U579" s="135"/>
      <c r="V579" s="135"/>
    </row>
    <row r="580" spans="4:22" ht="24.75" customHeight="1">
      <c r="D580" s="142"/>
      <c r="E580" s="136"/>
      <c r="F580" s="15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35"/>
      <c r="R580" s="144"/>
      <c r="S580" s="144"/>
      <c r="T580" s="144"/>
      <c r="U580" s="135"/>
      <c r="V580" s="135"/>
    </row>
    <row r="581" spans="4:22" ht="24.75" customHeight="1">
      <c r="D581" s="142"/>
      <c r="E581" s="136"/>
      <c r="F581" s="15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35"/>
      <c r="R581" s="144"/>
      <c r="S581" s="144"/>
      <c r="T581" s="144"/>
      <c r="U581" s="135"/>
      <c r="V581" s="135"/>
    </row>
    <row r="582" spans="4:22" ht="24.75" customHeight="1">
      <c r="D582" s="142"/>
      <c r="E582" s="136"/>
      <c r="F582" s="15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35"/>
      <c r="R582" s="144"/>
      <c r="S582" s="144"/>
      <c r="T582" s="144"/>
      <c r="U582" s="135"/>
      <c r="V582" s="135"/>
    </row>
    <row r="583" spans="4:22" ht="24.75" customHeight="1">
      <c r="D583" s="142"/>
      <c r="E583" s="136"/>
      <c r="F583" s="15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35"/>
      <c r="R583" s="144"/>
      <c r="S583" s="144"/>
      <c r="T583" s="144"/>
      <c r="U583" s="135"/>
      <c r="V583" s="135"/>
    </row>
    <row r="584" spans="4:22" ht="24.75" customHeight="1">
      <c r="D584" s="142"/>
      <c r="E584" s="136"/>
      <c r="F584" s="15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35"/>
      <c r="R584" s="144"/>
      <c r="S584" s="144"/>
      <c r="T584" s="144"/>
      <c r="U584" s="135"/>
      <c r="V584" s="135"/>
    </row>
    <row r="585" spans="4:22" ht="24.75" customHeight="1">
      <c r="D585" s="142"/>
      <c r="E585" s="136"/>
      <c r="F585" s="15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35"/>
      <c r="R585" s="144"/>
      <c r="S585" s="144"/>
      <c r="T585" s="144"/>
      <c r="U585" s="135"/>
      <c r="V585" s="135"/>
    </row>
    <row r="586" spans="4:22" ht="24.75" customHeight="1">
      <c r="D586" s="142"/>
      <c r="E586" s="136"/>
      <c r="F586" s="15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35"/>
      <c r="R586" s="144"/>
      <c r="S586" s="144"/>
      <c r="T586" s="144"/>
      <c r="U586" s="135"/>
      <c r="V586" s="135"/>
    </row>
    <row r="587" spans="4:22" ht="24.75" customHeight="1">
      <c r="D587" s="142"/>
      <c r="E587" s="136"/>
      <c r="F587" s="15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35"/>
      <c r="R587" s="144"/>
      <c r="S587" s="144"/>
      <c r="T587" s="144"/>
      <c r="U587" s="135"/>
      <c r="V587" s="135"/>
    </row>
    <row r="588" spans="4:22" ht="24.75" customHeight="1">
      <c r="D588" s="142"/>
      <c r="E588" s="136"/>
      <c r="F588" s="15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35"/>
      <c r="R588" s="144"/>
      <c r="S588" s="144"/>
      <c r="T588" s="144"/>
      <c r="U588" s="135"/>
      <c r="V588" s="135"/>
    </row>
    <row r="589" spans="4:22" ht="24.75" customHeight="1">
      <c r="D589" s="142"/>
      <c r="E589" s="136"/>
      <c r="F589" s="15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35"/>
      <c r="R589" s="144"/>
      <c r="S589" s="144"/>
      <c r="T589" s="144"/>
      <c r="U589" s="135"/>
      <c r="V589" s="135"/>
    </row>
    <row r="590" spans="4:22" ht="24.75" customHeight="1">
      <c r="D590" s="142"/>
      <c r="E590" s="136"/>
      <c r="F590" s="15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35"/>
      <c r="R590" s="144"/>
      <c r="S590" s="144"/>
      <c r="T590" s="144"/>
      <c r="U590" s="135"/>
      <c r="V590" s="135"/>
    </row>
    <row r="591" spans="4:22" ht="24.75" customHeight="1">
      <c r="D591" s="142"/>
      <c r="E591" s="136"/>
      <c r="F591" s="15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35"/>
      <c r="R591" s="144"/>
      <c r="S591" s="144"/>
      <c r="T591" s="144"/>
      <c r="U591" s="135"/>
      <c r="V591" s="135"/>
    </row>
    <row r="592" spans="4:22" ht="24.75" customHeight="1">
      <c r="D592" s="142"/>
      <c r="E592" s="136"/>
      <c r="F592" s="15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35"/>
      <c r="R592" s="144"/>
      <c r="S592" s="144"/>
      <c r="T592" s="144"/>
      <c r="U592" s="135"/>
      <c r="V592" s="135"/>
    </row>
    <row r="593" spans="4:22" ht="24.75" customHeight="1">
      <c r="D593" s="142"/>
      <c r="E593" s="136"/>
      <c r="F593" s="15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35"/>
      <c r="R593" s="144"/>
      <c r="S593" s="144"/>
      <c r="T593" s="144"/>
      <c r="U593" s="135"/>
      <c r="V593" s="135"/>
    </row>
    <row r="594" spans="4:22" ht="24.75" customHeight="1">
      <c r="D594" s="142"/>
      <c r="E594" s="136"/>
      <c r="F594" s="15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35"/>
      <c r="R594" s="144"/>
      <c r="S594" s="144"/>
      <c r="T594" s="144"/>
      <c r="U594" s="135"/>
      <c r="V594" s="135"/>
    </row>
    <row r="595" spans="4:22" ht="24.75" customHeight="1">
      <c r="D595" s="142"/>
      <c r="E595" s="136"/>
      <c r="F595" s="15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35"/>
      <c r="R595" s="144"/>
      <c r="S595" s="144"/>
      <c r="T595" s="144"/>
      <c r="U595" s="135"/>
      <c r="V595" s="135"/>
    </row>
    <row r="596" spans="4:22" ht="24.75" customHeight="1">
      <c r="D596" s="142"/>
      <c r="E596" s="136"/>
      <c r="F596" s="15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35"/>
      <c r="R596" s="144"/>
      <c r="S596" s="144"/>
      <c r="T596" s="144"/>
      <c r="U596" s="135"/>
      <c r="V596" s="135"/>
    </row>
    <row r="597" spans="4:22" ht="24.75" customHeight="1">
      <c r="D597" s="142"/>
      <c r="E597" s="136"/>
      <c r="F597" s="15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35"/>
      <c r="R597" s="144"/>
      <c r="S597" s="144"/>
      <c r="T597" s="144"/>
      <c r="U597" s="135"/>
      <c r="V597" s="135"/>
    </row>
    <row r="598" spans="4:22" ht="24.75" customHeight="1">
      <c r="D598" s="142"/>
      <c r="E598" s="136"/>
      <c r="F598" s="15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35"/>
      <c r="R598" s="144"/>
      <c r="S598" s="144"/>
      <c r="T598" s="144"/>
      <c r="U598" s="135"/>
      <c r="V598" s="135"/>
    </row>
    <row r="599" spans="4:22" ht="24.75" customHeight="1">
      <c r="D599" s="142"/>
      <c r="E599" s="136"/>
      <c r="F599" s="15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35"/>
      <c r="R599" s="144"/>
      <c r="S599" s="144"/>
      <c r="T599" s="144"/>
      <c r="U599" s="135"/>
      <c r="V599" s="135"/>
    </row>
    <row r="600" spans="4:22" ht="24.75" customHeight="1">
      <c r="D600" s="142"/>
      <c r="E600" s="136"/>
      <c r="F600" s="15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35"/>
      <c r="R600" s="144"/>
      <c r="S600" s="144"/>
      <c r="T600" s="144"/>
      <c r="U600" s="135"/>
      <c r="V600" s="135"/>
    </row>
    <row r="601" spans="4:22" ht="24.75" customHeight="1">
      <c r="D601" s="142"/>
      <c r="E601" s="136"/>
      <c r="F601" s="15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35"/>
      <c r="R601" s="144"/>
      <c r="S601" s="144"/>
      <c r="T601" s="144"/>
      <c r="U601" s="135"/>
      <c r="V601" s="135"/>
    </row>
    <row r="602" spans="4:22" ht="24.75" customHeight="1">
      <c r="D602" s="142"/>
      <c r="E602" s="136"/>
      <c r="F602" s="15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35"/>
      <c r="R602" s="144"/>
      <c r="S602" s="144"/>
      <c r="T602" s="144"/>
      <c r="U602" s="135"/>
      <c r="V602" s="135"/>
    </row>
    <row r="603" spans="4:22" ht="24.75" customHeight="1">
      <c r="D603" s="142"/>
      <c r="E603" s="136"/>
      <c r="F603" s="15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35"/>
      <c r="R603" s="144"/>
      <c r="S603" s="144"/>
      <c r="T603" s="144"/>
      <c r="U603" s="135"/>
      <c r="V603" s="135"/>
    </row>
    <row r="604" spans="4:22" ht="24.75" customHeight="1">
      <c r="D604" s="142"/>
      <c r="E604" s="136"/>
      <c r="F604" s="15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35"/>
      <c r="R604" s="144"/>
      <c r="S604" s="144"/>
      <c r="T604" s="144"/>
      <c r="U604" s="135"/>
      <c r="V604" s="135"/>
    </row>
    <row r="605" spans="4:22" ht="24.75" customHeight="1">
      <c r="D605" s="142"/>
      <c r="E605" s="136"/>
      <c r="F605" s="15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35"/>
      <c r="R605" s="144"/>
      <c r="S605" s="144"/>
      <c r="T605" s="144"/>
      <c r="U605" s="135"/>
      <c r="V605" s="135"/>
    </row>
    <row r="606" spans="4:22" ht="24.75" customHeight="1">
      <c r="D606" s="142"/>
      <c r="E606" s="136"/>
      <c r="F606" s="15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35"/>
      <c r="R606" s="144"/>
      <c r="S606" s="144"/>
      <c r="T606" s="144"/>
      <c r="U606" s="135"/>
      <c r="V606" s="135"/>
    </row>
    <row r="607" spans="4:22" ht="24.75" customHeight="1">
      <c r="D607" s="142"/>
      <c r="E607" s="136"/>
      <c r="F607" s="15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35"/>
      <c r="R607" s="144"/>
      <c r="S607" s="144"/>
      <c r="T607" s="144"/>
      <c r="U607" s="135"/>
      <c r="V607" s="135"/>
    </row>
    <row r="608" spans="4:22" ht="24.75" customHeight="1">
      <c r="D608" s="142"/>
      <c r="E608" s="136"/>
      <c r="F608" s="15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35"/>
      <c r="R608" s="144"/>
      <c r="S608" s="144"/>
      <c r="T608" s="144"/>
      <c r="U608" s="135"/>
      <c r="V608" s="135"/>
    </row>
    <row r="609" spans="4:22" ht="24.75" customHeight="1">
      <c r="D609" s="142"/>
      <c r="E609" s="136"/>
      <c r="F609" s="15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35"/>
      <c r="R609" s="144"/>
      <c r="S609" s="144"/>
      <c r="T609" s="144"/>
      <c r="U609" s="135"/>
      <c r="V609" s="135"/>
    </row>
    <row r="610" spans="4:22" ht="24.75" customHeight="1">
      <c r="D610" s="142"/>
      <c r="E610" s="136"/>
      <c r="F610" s="15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35"/>
      <c r="R610" s="144"/>
      <c r="S610" s="144"/>
      <c r="T610" s="144"/>
      <c r="U610" s="135"/>
      <c r="V610" s="135"/>
    </row>
    <row r="611" spans="4:22" ht="24.75" customHeight="1">
      <c r="D611" s="142"/>
      <c r="E611" s="136"/>
      <c r="F611" s="15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35"/>
      <c r="R611" s="144"/>
      <c r="S611" s="144"/>
      <c r="T611" s="144"/>
      <c r="U611" s="135"/>
      <c r="V611" s="135"/>
    </row>
    <row r="612" spans="4:22" ht="24.75" customHeight="1">
      <c r="D612" s="142"/>
      <c r="E612" s="136"/>
      <c r="F612" s="15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35"/>
      <c r="R612" s="144"/>
      <c r="S612" s="144"/>
      <c r="T612" s="144"/>
      <c r="U612" s="135"/>
      <c r="V612" s="135"/>
    </row>
    <row r="613" spans="4:22" ht="24.75" customHeight="1">
      <c r="D613" s="142"/>
      <c r="E613" s="136"/>
      <c r="F613" s="15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35"/>
      <c r="R613" s="144"/>
      <c r="S613" s="144"/>
      <c r="T613" s="144"/>
      <c r="U613" s="135"/>
      <c r="V613" s="135"/>
    </row>
    <row r="614" spans="4:22" ht="24.75" customHeight="1">
      <c r="D614" s="142"/>
      <c r="E614" s="136"/>
      <c r="F614" s="15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35"/>
      <c r="R614" s="144"/>
      <c r="S614" s="144"/>
      <c r="T614" s="144"/>
      <c r="U614" s="135"/>
      <c r="V614" s="135"/>
    </row>
    <row r="615" spans="4:22" ht="24.75" customHeight="1">
      <c r="D615" s="142"/>
      <c r="E615" s="136"/>
      <c r="F615" s="15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35"/>
      <c r="R615" s="144"/>
      <c r="S615" s="144"/>
      <c r="T615" s="144"/>
      <c r="U615" s="135"/>
      <c r="V615" s="135"/>
    </row>
    <row r="616" spans="4:22" ht="24.75" customHeight="1">
      <c r="D616" s="142"/>
      <c r="E616" s="136"/>
      <c r="F616" s="15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35"/>
      <c r="R616" s="144"/>
      <c r="S616" s="144"/>
      <c r="T616" s="144"/>
      <c r="U616" s="135"/>
      <c r="V616" s="135"/>
    </row>
    <row r="617" spans="4:22" ht="24.75" customHeight="1">
      <c r="D617" s="142"/>
      <c r="E617" s="136"/>
      <c r="F617" s="15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35"/>
      <c r="R617" s="144"/>
      <c r="S617" s="144"/>
      <c r="T617" s="144"/>
      <c r="U617" s="135"/>
      <c r="V617" s="135"/>
    </row>
    <row r="618" spans="4:22" ht="24.75" customHeight="1">
      <c r="D618" s="142"/>
      <c r="E618" s="136"/>
      <c r="F618" s="15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35"/>
      <c r="R618" s="144"/>
      <c r="S618" s="144"/>
      <c r="T618" s="144"/>
      <c r="U618" s="135"/>
      <c r="V618" s="135"/>
    </row>
    <row r="619" spans="4:22" ht="24.75" customHeight="1">
      <c r="D619" s="142"/>
      <c r="E619" s="136"/>
      <c r="F619" s="15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35"/>
      <c r="R619" s="144"/>
      <c r="S619" s="144"/>
      <c r="T619" s="144"/>
      <c r="U619" s="135"/>
      <c r="V619" s="135"/>
    </row>
    <row r="620" spans="4:22" ht="24.75" customHeight="1">
      <c r="D620" s="142"/>
      <c r="E620" s="136"/>
      <c r="F620" s="15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35"/>
      <c r="R620" s="144"/>
      <c r="S620" s="144"/>
      <c r="T620" s="144"/>
      <c r="U620" s="135"/>
      <c r="V620" s="135"/>
    </row>
    <row r="621" spans="4:22" ht="24.75" customHeight="1">
      <c r="D621" s="142"/>
      <c r="E621" s="136"/>
      <c r="F621" s="15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35"/>
      <c r="R621" s="144"/>
      <c r="S621" s="144"/>
      <c r="T621" s="144"/>
      <c r="U621" s="135"/>
      <c r="V621" s="135"/>
    </row>
    <row r="622" spans="4:22" ht="24.75" customHeight="1">
      <c r="D622" s="142"/>
      <c r="E622" s="136"/>
      <c r="F622" s="15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35"/>
      <c r="R622" s="144"/>
      <c r="S622" s="144"/>
      <c r="T622" s="144"/>
      <c r="U622" s="135"/>
      <c r="V622" s="135"/>
    </row>
    <row r="623" spans="4:22" ht="24.75" customHeight="1">
      <c r="D623" s="142"/>
      <c r="E623" s="136"/>
      <c r="F623" s="15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35"/>
      <c r="R623" s="144"/>
      <c r="S623" s="144"/>
      <c r="T623" s="144"/>
      <c r="U623" s="135"/>
      <c r="V623" s="135"/>
    </row>
    <row r="624" spans="4:22" ht="24.75" customHeight="1">
      <c r="D624" s="142"/>
      <c r="E624" s="136"/>
      <c r="F624" s="15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35"/>
      <c r="R624" s="144"/>
      <c r="S624" s="144"/>
      <c r="T624" s="144"/>
      <c r="U624" s="135"/>
      <c r="V624" s="135"/>
    </row>
    <row r="625" spans="4:22" ht="24.75" customHeight="1">
      <c r="D625" s="142"/>
      <c r="E625" s="136"/>
      <c r="F625" s="15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35"/>
      <c r="R625" s="144"/>
      <c r="S625" s="144"/>
      <c r="T625" s="144"/>
      <c r="U625" s="135"/>
      <c r="V625" s="135"/>
    </row>
    <row r="626" spans="4:22" ht="24.75" customHeight="1">
      <c r="D626" s="142"/>
      <c r="E626" s="136"/>
      <c r="F626" s="15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35"/>
      <c r="R626" s="144"/>
      <c r="S626" s="144"/>
      <c r="T626" s="144"/>
      <c r="U626" s="135"/>
      <c r="V626" s="135"/>
    </row>
    <row r="627" spans="4:22" ht="24.75" customHeight="1">
      <c r="D627" s="142"/>
      <c r="E627" s="136"/>
      <c r="F627" s="15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35"/>
      <c r="R627" s="144"/>
      <c r="S627" s="144"/>
      <c r="T627" s="144"/>
      <c r="U627" s="135"/>
      <c r="V627" s="135"/>
    </row>
    <row r="628" spans="4:22" ht="24.75" customHeight="1">
      <c r="D628" s="142"/>
      <c r="E628" s="136"/>
      <c r="F628" s="15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35"/>
      <c r="R628" s="144"/>
      <c r="S628" s="144"/>
      <c r="T628" s="144"/>
      <c r="U628" s="135"/>
      <c r="V628" s="135"/>
    </row>
    <row r="629" spans="4:22" ht="24.75" customHeight="1">
      <c r="D629" s="142"/>
      <c r="E629" s="136"/>
      <c r="F629" s="15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35"/>
      <c r="R629" s="144"/>
      <c r="S629" s="144"/>
      <c r="T629" s="144"/>
      <c r="U629" s="135"/>
      <c r="V629" s="135"/>
    </row>
    <row r="630" spans="4:22" ht="24.75" customHeight="1">
      <c r="D630" s="142"/>
      <c r="E630" s="136"/>
      <c r="F630" s="15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35"/>
      <c r="R630" s="144"/>
      <c r="S630" s="144"/>
      <c r="T630" s="144"/>
      <c r="U630" s="135"/>
      <c r="V630" s="135"/>
    </row>
    <row r="631" spans="4:22" ht="24.75" customHeight="1">
      <c r="D631" s="142"/>
      <c r="E631" s="136"/>
      <c r="F631" s="15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35"/>
      <c r="R631" s="144"/>
      <c r="S631" s="144"/>
      <c r="T631" s="144"/>
      <c r="U631" s="135"/>
      <c r="V631" s="135"/>
    </row>
    <row r="632" spans="4:22" ht="24.75" customHeight="1">
      <c r="D632" s="142"/>
      <c r="E632" s="136"/>
      <c r="F632" s="15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35"/>
      <c r="R632" s="144"/>
      <c r="S632" s="144"/>
      <c r="T632" s="144"/>
      <c r="U632" s="135"/>
      <c r="V632" s="135"/>
    </row>
    <row r="633" spans="4:22" ht="24.75" customHeight="1">
      <c r="D633" s="142"/>
      <c r="E633" s="136"/>
      <c r="F633" s="15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35"/>
      <c r="R633" s="144"/>
      <c r="S633" s="144"/>
      <c r="T633" s="144"/>
      <c r="U633" s="135"/>
      <c r="V633" s="135"/>
    </row>
    <row r="634" spans="4:22" ht="24.75" customHeight="1">
      <c r="D634" s="142"/>
      <c r="E634" s="136"/>
      <c r="F634" s="15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35"/>
      <c r="R634" s="144"/>
      <c r="S634" s="144"/>
      <c r="T634" s="144"/>
      <c r="U634" s="135"/>
      <c r="V634" s="135"/>
    </row>
    <row r="635" spans="4:22" ht="24.75" customHeight="1">
      <c r="D635" s="142"/>
      <c r="E635" s="136"/>
      <c r="F635" s="15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35"/>
      <c r="R635" s="144"/>
      <c r="S635" s="144"/>
      <c r="T635" s="144"/>
      <c r="U635" s="135"/>
      <c r="V635" s="135"/>
    </row>
    <row r="636" spans="4:22" ht="24.75" customHeight="1">
      <c r="D636" s="142"/>
      <c r="E636" s="136"/>
      <c r="F636" s="15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35"/>
      <c r="R636" s="144"/>
      <c r="S636" s="144"/>
      <c r="T636" s="144"/>
      <c r="U636" s="135"/>
      <c r="V636" s="135"/>
    </row>
    <row r="637" spans="4:22" ht="24.75" customHeight="1">
      <c r="D637" s="142"/>
      <c r="E637" s="136"/>
      <c r="F637" s="15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35"/>
      <c r="R637" s="144"/>
      <c r="S637" s="144"/>
      <c r="T637" s="144"/>
      <c r="U637" s="135"/>
      <c r="V637" s="135"/>
    </row>
    <row r="638" spans="4:22" ht="24.75" customHeight="1">
      <c r="D638" s="142"/>
      <c r="E638" s="136"/>
      <c r="F638" s="15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35"/>
      <c r="R638" s="144"/>
      <c r="S638" s="144"/>
      <c r="T638" s="144"/>
      <c r="U638" s="135"/>
      <c r="V638" s="135"/>
    </row>
    <row r="639" spans="4:22" ht="24.75" customHeight="1">
      <c r="D639" s="142"/>
      <c r="E639" s="136"/>
      <c r="F639" s="15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35"/>
      <c r="R639" s="144"/>
      <c r="S639" s="144"/>
      <c r="T639" s="144"/>
      <c r="U639" s="135"/>
      <c r="V639" s="135"/>
    </row>
    <row r="640" spans="4:22" ht="24.75" customHeight="1">
      <c r="D640" s="142"/>
      <c r="E640" s="136"/>
      <c r="F640" s="15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35"/>
      <c r="R640" s="144"/>
      <c r="S640" s="144"/>
      <c r="T640" s="144"/>
      <c r="U640" s="135"/>
      <c r="V640" s="135"/>
    </row>
    <row r="641" spans="4:22" ht="24.75" customHeight="1">
      <c r="D641" s="142"/>
      <c r="E641" s="136"/>
      <c r="F641" s="15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35"/>
      <c r="R641" s="144"/>
      <c r="S641" s="144"/>
      <c r="T641" s="144"/>
      <c r="U641" s="135"/>
      <c r="V641" s="135"/>
    </row>
    <row r="642" spans="4:22" ht="24.75" customHeight="1">
      <c r="D642" s="142"/>
      <c r="E642" s="136"/>
      <c r="F642" s="15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35"/>
      <c r="R642" s="144"/>
      <c r="S642" s="144"/>
      <c r="T642" s="144"/>
      <c r="U642" s="135"/>
      <c r="V642" s="135"/>
    </row>
    <row r="643" spans="4:22" ht="24.75" customHeight="1">
      <c r="D643" s="142"/>
      <c r="E643" s="136"/>
      <c r="F643" s="15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35"/>
      <c r="R643" s="144"/>
      <c r="S643" s="144"/>
      <c r="T643" s="144"/>
      <c r="U643" s="135"/>
      <c r="V643" s="135"/>
    </row>
    <row r="644" spans="4:22" ht="24.75" customHeight="1">
      <c r="D644" s="142"/>
      <c r="E644" s="136"/>
      <c r="F644" s="15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35"/>
      <c r="R644" s="144"/>
      <c r="S644" s="144"/>
      <c r="T644" s="144"/>
      <c r="U644" s="135"/>
      <c r="V644" s="135"/>
    </row>
    <row r="645" spans="4:22" ht="24.75" customHeight="1">
      <c r="D645" s="142"/>
      <c r="E645" s="136"/>
      <c r="F645" s="15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35"/>
      <c r="R645" s="144"/>
      <c r="S645" s="144"/>
      <c r="T645" s="144"/>
      <c r="U645" s="135"/>
      <c r="V645" s="135"/>
    </row>
    <row r="646" spans="4:22" ht="24.75" customHeight="1">
      <c r="D646" s="142"/>
      <c r="E646" s="136"/>
      <c r="F646" s="15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35"/>
      <c r="R646" s="144"/>
      <c r="S646" s="144"/>
      <c r="T646" s="144"/>
      <c r="U646" s="135"/>
      <c r="V646" s="135"/>
    </row>
    <row r="647" spans="4:22" ht="24.75" customHeight="1">
      <c r="D647" s="142"/>
      <c r="E647" s="136"/>
      <c r="F647" s="15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35"/>
      <c r="R647" s="144"/>
      <c r="S647" s="144"/>
      <c r="T647" s="144"/>
      <c r="U647" s="135"/>
      <c r="V647" s="135"/>
    </row>
    <row r="648" spans="4:22" ht="24.75" customHeight="1">
      <c r="D648" s="142"/>
      <c r="E648" s="136"/>
      <c r="F648" s="15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35"/>
      <c r="R648" s="144"/>
      <c r="S648" s="144"/>
      <c r="T648" s="144"/>
      <c r="U648" s="135"/>
      <c r="V648" s="135"/>
    </row>
    <row r="649" spans="4:22" ht="24.75" customHeight="1">
      <c r="D649" s="142"/>
      <c r="E649" s="136"/>
      <c r="F649" s="15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35"/>
      <c r="R649" s="144"/>
      <c r="S649" s="144"/>
      <c r="T649" s="144"/>
      <c r="U649" s="135"/>
      <c r="V649" s="135"/>
    </row>
    <row r="650" spans="4:22" ht="24.75" customHeight="1">
      <c r="D650" s="142"/>
      <c r="E650" s="136"/>
      <c r="F650" s="15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35"/>
      <c r="R650" s="144"/>
      <c r="S650" s="144"/>
      <c r="T650" s="144"/>
      <c r="U650" s="135"/>
      <c r="V650" s="135"/>
    </row>
    <row r="651" spans="4:22" ht="24.75" customHeight="1">
      <c r="D651" s="142"/>
      <c r="E651" s="136"/>
      <c r="F651" s="15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35"/>
      <c r="R651" s="144"/>
      <c r="S651" s="144"/>
      <c r="T651" s="144"/>
      <c r="U651" s="135"/>
      <c r="V651" s="135"/>
    </row>
    <row r="652" spans="4:22" ht="24.75" customHeight="1">
      <c r="D652" s="142"/>
      <c r="E652" s="136"/>
      <c r="F652" s="15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35"/>
      <c r="R652" s="144"/>
      <c r="S652" s="144"/>
      <c r="T652" s="144"/>
      <c r="U652" s="135"/>
      <c r="V652" s="135"/>
    </row>
    <row r="653" spans="4:22" ht="24.75" customHeight="1">
      <c r="D653" s="142"/>
      <c r="E653" s="136"/>
      <c r="F653" s="15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35"/>
      <c r="R653" s="144"/>
      <c r="S653" s="144"/>
      <c r="T653" s="144"/>
      <c r="U653" s="135"/>
      <c r="V653" s="135"/>
    </row>
    <row r="654" spans="4:22" ht="24.75" customHeight="1">
      <c r="D654" s="142"/>
      <c r="E654" s="136"/>
      <c r="F654" s="15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35"/>
      <c r="R654" s="144"/>
      <c r="S654" s="144"/>
      <c r="T654" s="144"/>
      <c r="U654" s="135"/>
      <c r="V654" s="135"/>
    </row>
    <row r="655" spans="4:22" ht="24.75" customHeight="1">
      <c r="D655" s="142"/>
      <c r="E655" s="136"/>
      <c r="F655" s="15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35"/>
      <c r="R655" s="144"/>
      <c r="S655" s="144"/>
      <c r="T655" s="144"/>
      <c r="U655" s="135"/>
      <c r="V655" s="135"/>
    </row>
    <row r="656" spans="4:22" ht="24.75" customHeight="1">
      <c r="D656" s="142"/>
      <c r="E656" s="136"/>
      <c r="F656" s="15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35"/>
      <c r="R656" s="144"/>
      <c r="S656" s="144"/>
      <c r="T656" s="144"/>
      <c r="U656" s="135"/>
      <c r="V656" s="135"/>
    </row>
    <row r="657" spans="4:22" ht="24.75" customHeight="1">
      <c r="D657" s="142"/>
      <c r="E657" s="136"/>
      <c r="F657" s="15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35"/>
      <c r="R657" s="144"/>
      <c r="S657" s="144"/>
      <c r="T657" s="144"/>
      <c r="U657" s="135"/>
      <c r="V657" s="135"/>
    </row>
    <row r="658" spans="4:22" ht="24.75" customHeight="1">
      <c r="D658" s="142"/>
      <c r="E658" s="136"/>
      <c r="F658" s="15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35"/>
      <c r="R658" s="144"/>
      <c r="S658" s="144"/>
      <c r="T658" s="144"/>
      <c r="U658" s="135"/>
      <c r="V658" s="135"/>
    </row>
    <row r="659" spans="4:22" ht="24.75" customHeight="1">
      <c r="D659" s="142"/>
      <c r="E659" s="136"/>
      <c r="F659" s="15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35"/>
      <c r="R659" s="144"/>
      <c r="S659" s="144"/>
      <c r="T659" s="144"/>
      <c r="U659" s="135"/>
      <c r="V659" s="135"/>
    </row>
    <row r="660" spans="4:22" ht="24.75" customHeight="1">
      <c r="D660" s="142"/>
      <c r="E660" s="136"/>
      <c r="F660" s="15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35"/>
      <c r="R660" s="144"/>
      <c r="S660" s="144"/>
      <c r="T660" s="144"/>
      <c r="U660" s="135"/>
      <c r="V660" s="135"/>
    </row>
    <row r="661" spans="4:22" ht="24.75" customHeight="1">
      <c r="D661" s="142"/>
      <c r="E661" s="136"/>
      <c r="F661" s="15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35"/>
      <c r="R661" s="144"/>
      <c r="S661" s="144"/>
      <c r="T661" s="144"/>
      <c r="U661" s="135"/>
      <c r="V661" s="135"/>
    </row>
    <row r="662" spans="4:22" ht="24.75" customHeight="1">
      <c r="D662" s="142"/>
      <c r="E662" s="136"/>
      <c r="F662" s="15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35"/>
      <c r="R662" s="144"/>
      <c r="S662" s="144"/>
      <c r="T662" s="144"/>
      <c r="U662" s="135"/>
      <c r="V662" s="135"/>
    </row>
    <row r="663" spans="4:22" ht="24.75" customHeight="1">
      <c r="D663" s="142"/>
      <c r="E663" s="136"/>
      <c r="F663" s="15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35"/>
      <c r="R663" s="144"/>
      <c r="S663" s="144"/>
      <c r="T663" s="144"/>
      <c r="U663" s="135"/>
      <c r="V663" s="135"/>
    </row>
    <row r="664" spans="4:22" ht="24.75" customHeight="1">
      <c r="D664" s="142"/>
      <c r="E664" s="136"/>
      <c r="F664" s="15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35"/>
      <c r="R664" s="144"/>
      <c r="S664" s="144"/>
      <c r="T664" s="144"/>
      <c r="U664" s="135"/>
      <c r="V664" s="135"/>
    </row>
    <row r="665" spans="4:22" ht="24.75" customHeight="1">
      <c r="D665" s="142"/>
      <c r="E665" s="136"/>
      <c r="F665" s="15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35"/>
      <c r="R665" s="144"/>
      <c r="S665" s="144"/>
      <c r="T665" s="144"/>
      <c r="U665" s="135"/>
      <c r="V665" s="135"/>
    </row>
    <row r="666" spans="4:22" ht="24.75" customHeight="1">
      <c r="D666" s="142"/>
      <c r="E666" s="136"/>
      <c r="F666" s="15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35"/>
      <c r="R666" s="144"/>
      <c r="S666" s="144"/>
      <c r="T666" s="144"/>
      <c r="U666" s="135"/>
      <c r="V666" s="135"/>
    </row>
    <row r="667" spans="4:22" ht="24.75" customHeight="1">
      <c r="D667" s="142"/>
      <c r="E667" s="136"/>
      <c r="F667" s="15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35"/>
      <c r="R667" s="144"/>
      <c r="S667" s="144"/>
      <c r="T667" s="144"/>
      <c r="U667" s="135"/>
      <c r="V667" s="135"/>
    </row>
    <row r="668" spans="4:22" ht="24.75" customHeight="1">
      <c r="D668" s="142"/>
      <c r="E668" s="136"/>
      <c r="F668" s="15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35"/>
      <c r="R668" s="144"/>
      <c r="S668" s="144"/>
      <c r="T668" s="144"/>
      <c r="U668" s="135"/>
      <c r="V668" s="135"/>
    </row>
    <row r="669" spans="4:22" ht="24.75" customHeight="1">
      <c r="D669" s="142"/>
      <c r="E669" s="136"/>
      <c r="F669" s="15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35"/>
      <c r="R669" s="144"/>
      <c r="S669" s="144"/>
      <c r="T669" s="144"/>
      <c r="U669" s="135"/>
      <c r="V669" s="135"/>
    </row>
    <row r="670" spans="4:22" ht="24.75" customHeight="1">
      <c r="D670" s="142"/>
      <c r="E670" s="136"/>
      <c r="F670" s="15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35"/>
      <c r="R670" s="144"/>
      <c r="S670" s="144"/>
      <c r="T670" s="144"/>
      <c r="U670" s="135"/>
      <c r="V670" s="135"/>
    </row>
    <row r="671" spans="4:22" ht="24.75" customHeight="1">
      <c r="D671" s="142"/>
      <c r="E671" s="136"/>
      <c r="F671" s="15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35"/>
      <c r="R671" s="144"/>
      <c r="S671" s="144"/>
      <c r="T671" s="144"/>
      <c r="U671" s="135"/>
      <c r="V671" s="135"/>
    </row>
    <row r="672" spans="4:22" ht="24.75" customHeight="1">
      <c r="D672" s="142"/>
      <c r="E672" s="136"/>
      <c r="F672" s="15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35"/>
      <c r="R672" s="144"/>
      <c r="S672" s="144"/>
      <c r="T672" s="144"/>
      <c r="U672" s="135"/>
      <c r="V672" s="135"/>
    </row>
    <row r="673" spans="4:22" ht="24.75" customHeight="1">
      <c r="D673" s="142"/>
      <c r="E673" s="136"/>
      <c r="F673" s="15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35"/>
      <c r="R673" s="144"/>
      <c r="S673" s="144"/>
      <c r="T673" s="144"/>
      <c r="U673" s="135"/>
      <c r="V673" s="135"/>
    </row>
    <row r="674" spans="4:22" ht="24.75" customHeight="1">
      <c r="D674" s="142"/>
      <c r="E674" s="136"/>
      <c r="F674" s="15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35"/>
      <c r="R674" s="144"/>
      <c r="S674" s="144"/>
      <c r="T674" s="144"/>
      <c r="U674" s="135"/>
      <c r="V674" s="135"/>
    </row>
    <row r="675" spans="4:22" ht="24.75" customHeight="1">
      <c r="D675" s="142"/>
      <c r="E675" s="136"/>
      <c r="F675" s="15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35"/>
      <c r="R675" s="144"/>
      <c r="S675" s="144"/>
      <c r="T675" s="144"/>
      <c r="U675" s="135"/>
      <c r="V675" s="135"/>
    </row>
    <row r="676" spans="4:22" ht="24.75" customHeight="1">
      <c r="D676" s="142"/>
      <c r="E676" s="136"/>
      <c r="F676" s="15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35"/>
      <c r="R676" s="144"/>
      <c r="S676" s="144"/>
      <c r="T676" s="144"/>
      <c r="U676" s="135"/>
      <c r="V676" s="135"/>
    </row>
    <row r="677" spans="4:22" ht="24.75" customHeight="1">
      <c r="D677" s="142"/>
      <c r="E677" s="136"/>
      <c r="F677" s="15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35"/>
      <c r="R677" s="144"/>
      <c r="S677" s="144"/>
      <c r="T677" s="144"/>
      <c r="U677" s="135"/>
      <c r="V677" s="135"/>
    </row>
    <row r="678" spans="4:22" ht="24.75" customHeight="1">
      <c r="D678" s="142"/>
      <c r="E678" s="136"/>
      <c r="F678" s="15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35"/>
      <c r="R678" s="144"/>
      <c r="S678" s="144"/>
      <c r="T678" s="144"/>
      <c r="U678" s="135"/>
      <c r="V678" s="135"/>
    </row>
    <row r="679" spans="4:22" ht="24.75" customHeight="1">
      <c r="D679" s="142"/>
      <c r="E679" s="136"/>
      <c r="F679" s="15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35"/>
      <c r="R679" s="144"/>
      <c r="S679" s="144"/>
      <c r="T679" s="144"/>
      <c r="U679" s="135"/>
      <c r="V679" s="135"/>
    </row>
    <row r="680" spans="4:22" ht="24.75" customHeight="1">
      <c r="D680" s="142"/>
      <c r="E680" s="136"/>
      <c r="F680" s="15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35"/>
      <c r="R680" s="144"/>
      <c r="S680" s="144"/>
      <c r="T680" s="144"/>
      <c r="U680" s="135"/>
      <c r="V680" s="135"/>
    </row>
    <row r="681" spans="4:22" ht="24.75" customHeight="1">
      <c r="D681" s="142"/>
      <c r="E681" s="136"/>
      <c r="F681" s="15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35"/>
      <c r="R681" s="144"/>
      <c r="S681" s="144"/>
      <c r="T681" s="144"/>
      <c r="U681" s="135"/>
      <c r="V681" s="135"/>
    </row>
    <row r="682" spans="4:22" ht="24.75" customHeight="1">
      <c r="D682" s="142"/>
      <c r="E682" s="136"/>
      <c r="F682" s="15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35"/>
      <c r="R682" s="144"/>
      <c r="S682" s="144"/>
      <c r="T682" s="144"/>
      <c r="U682" s="135"/>
      <c r="V682" s="135"/>
    </row>
    <row r="683" spans="4:22" ht="24.75" customHeight="1">
      <c r="D683" s="142"/>
      <c r="E683" s="136"/>
      <c r="F683" s="15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35"/>
      <c r="R683" s="144"/>
      <c r="S683" s="144"/>
      <c r="T683" s="144"/>
      <c r="U683" s="135"/>
      <c r="V683" s="135"/>
    </row>
    <row r="684" spans="4:22" ht="24.75" customHeight="1">
      <c r="D684" s="142"/>
      <c r="E684" s="136"/>
      <c r="F684" s="15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35"/>
      <c r="R684" s="144"/>
      <c r="S684" s="144"/>
      <c r="T684" s="144"/>
      <c r="U684" s="135"/>
      <c r="V684" s="135"/>
    </row>
    <row r="685" spans="4:22" ht="24.75" customHeight="1">
      <c r="D685" s="142"/>
      <c r="E685" s="136"/>
      <c r="F685" s="15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35"/>
      <c r="R685" s="144"/>
      <c r="S685" s="144"/>
      <c r="T685" s="144"/>
      <c r="U685" s="135"/>
      <c r="V685" s="135"/>
    </row>
    <row r="686" spans="4:22" ht="24.75" customHeight="1">
      <c r="D686" s="142"/>
      <c r="E686" s="136"/>
      <c r="F686" s="15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35"/>
      <c r="R686" s="144"/>
      <c r="S686" s="144"/>
      <c r="T686" s="144"/>
      <c r="U686" s="135"/>
      <c r="V686" s="135"/>
    </row>
    <row r="687" spans="4:22" ht="24.75" customHeight="1">
      <c r="D687" s="142"/>
      <c r="E687" s="136"/>
      <c r="F687" s="15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35"/>
      <c r="R687" s="144"/>
      <c r="S687" s="144"/>
      <c r="T687" s="144"/>
      <c r="U687" s="135"/>
      <c r="V687" s="135"/>
    </row>
    <row r="688" spans="4:22" ht="24.75" customHeight="1">
      <c r="D688" s="142"/>
      <c r="E688" s="136"/>
      <c r="F688" s="15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35"/>
      <c r="R688" s="144"/>
      <c r="S688" s="144"/>
      <c r="T688" s="144"/>
      <c r="U688" s="135"/>
      <c r="V688" s="135"/>
    </row>
    <row r="689" spans="4:22" ht="24.75" customHeight="1">
      <c r="D689" s="142"/>
      <c r="E689" s="136"/>
      <c r="F689" s="15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35"/>
      <c r="R689" s="144"/>
      <c r="S689" s="144"/>
      <c r="T689" s="144"/>
      <c r="U689" s="135"/>
      <c r="V689" s="135"/>
    </row>
    <row r="690" spans="4:22" ht="24.75" customHeight="1">
      <c r="D690" s="142"/>
      <c r="E690" s="136"/>
      <c r="F690" s="15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35"/>
      <c r="R690" s="144"/>
      <c r="S690" s="144"/>
      <c r="T690" s="144"/>
      <c r="U690" s="135"/>
      <c r="V690" s="135"/>
    </row>
    <row r="691" spans="4:22" ht="24.75" customHeight="1">
      <c r="D691" s="142"/>
      <c r="E691" s="136"/>
      <c r="F691" s="15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35"/>
      <c r="R691" s="144"/>
      <c r="S691" s="144"/>
      <c r="T691" s="144"/>
      <c r="U691" s="135"/>
      <c r="V691" s="135"/>
    </row>
    <row r="692" spans="4:22" ht="24.75" customHeight="1">
      <c r="D692" s="142"/>
      <c r="E692" s="136"/>
      <c r="F692" s="15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35"/>
      <c r="R692" s="144"/>
      <c r="S692" s="144"/>
      <c r="T692" s="144"/>
      <c r="U692" s="135"/>
      <c r="V692" s="135"/>
    </row>
    <row r="693" spans="4:22" ht="24.75" customHeight="1">
      <c r="D693" s="142"/>
      <c r="E693" s="136"/>
      <c r="F693" s="15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35"/>
      <c r="R693" s="144"/>
      <c r="S693" s="144"/>
      <c r="T693" s="144"/>
      <c r="U693" s="135"/>
      <c r="V693" s="135"/>
    </row>
    <row r="694" spans="4:22" ht="24.75" customHeight="1">
      <c r="D694" s="142"/>
      <c r="E694" s="136"/>
      <c r="F694" s="15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35"/>
      <c r="R694" s="144"/>
      <c r="S694" s="144"/>
      <c r="T694" s="144"/>
      <c r="U694" s="135"/>
      <c r="V694" s="135"/>
    </row>
    <row r="695" spans="4:22" ht="24.75" customHeight="1">
      <c r="D695" s="142"/>
      <c r="E695" s="136"/>
      <c r="F695" s="15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35"/>
      <c r="R695" s="144"/>
      <c r="S695" s="144"/>
      <c r="T695" s="144"/>
      <c r="U695" s="135"/>
      <c r="V695" s="135"/>
    </row>
    <row r="696" spans="4:22" ht="24.75" customHeight="1">
      <c r="D696" s="142"/>
      <c r="E696" s="136"/>
      <c r="F696" s="15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35"/>
      <c r="R696" s="144"/>
      <c r="S696" s="144"/>
      <c r="T696" s="144"/>
      <c r="U696" s="135"/>
      <c r="V696" s="135"/>
    </row>
    <row r="697" spans="4:22" ht="24.75" customHeight="1">
      <c r="D697" s="142"/>
      <c r="E697" s="136"/>
      <c r="F697" s="15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35"/>
      <c r="R697" s="144"/>
      <c r="S697" s="144"/>
      <c r="T697" s="144"/>
      <c r="U697" s="135"/>
      <c r="V697" s="135"/>
    </row>
    <row r="698" spans="4:22" ht="24.75" customHeight="1">
      <c r="D698" s="142"/>
      <c r="E698" s="136"/>
      <c r="F698" s="15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35"/>
      <c r="R698" s="144"/>
      <c r="S698" s="144"/>
      <c r="T698" s="144"/>
      <c r="U698" s="135"/>
      <c r="V698" s="135"/>
    </row>
    <row r="699" spans="4:22" ht="24.75" customHeight="1">
      <c r="D699" s="142"/>
      <c r="E699" s="136"/>
      <c r="F699" s="15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35"/>
      <c r="R699" s="144"/>
      <c r="S699" s="144"/>
      <c r="T699" s="144"/>
      <c r="U699" s="135"/>
      <c r="V699" s="135"/>
    </row>
    <row r="700" spans="4:22" ht="24.75" customHeight="1">
      <c r="D700" s="142"/>
      <c r="E700" s="136"/>
      <c r="F700" s="15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35"/>
      <c r="R700" s="144"/>
      <c r="S700" s="144"/>
      <c r="T700" s="144"/>
      <c r="U700" s="135"/>
      <c r="V700" s="135"/>
    </row>
    <row r="701" spans="4:22" ht="24.75" customHeight="1">
      <c r="D701" s="142"/>
      <c r="E701" s="136"/>
      <c r="F701" s="15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35"/>
      <c r="R701" s="144"/>
      <c r="S701" s="144"/>
      <c r="T701" s="144"/>
      <c r="U701" s="135"/>
      <c r="V701" s="135"/>
    </row>
    <row r="702" spans="4:22" ht="24.75" customHeight="1">
      <c r="D702" s="142"/>
      <c r="E702" s="136"/>
      <c r="F702" s="15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35"/>
      <c r="R702" s="144"/>
      <c r="S702" s="144"/>
      <c r="T702" s="144"/>
      <c r="U702" s="135"/>
      <c r="V702" s="135"/>
    </row>
    <row r="703" spans="4:22" ht="24.75" customHeight="1">
      <c r="D703" s="142"/>
      <c r="E703" s="136"/>
      <c r="F703" s="15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35"/>
      <c r="R703" s="144"/>
      <c r="S703" s="144"/>
      <c r="T703" s="144"/>
      <c r="U703" s="135"/>
      <c r="V703" s="135"/>
    </row>
    <row r="704" spans="4:22" ht="24.75" customHeight="1">
      <c r="D704" s="142"/>
      <c r="E704" s="136"/>
      <c r="F704" s="15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35"/>
      <c r="R704" s="144"/>
      <c r="S704" s="144"/>
      <c r="T704" s="144"/>
      <c r="U704" s="135"/>
      <c r="V704" s="135"/>
    </row>
    <row r="705" spans="4:22" ht="24.75" customHeight="1">
      <c r="D705" s="142"/>
      <c r="E705" s="136"/>
      <c r="F705" s="15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35"/>
      <c r="R705" s="144"/>
      <c r="S705" s="144"/>
      <c r="T705" s="144"/>
      <c r="U705" s="135"/>
      <c r="V705" s="135"/>
    </row>
    <row r="706" spans="4:22" ht="24.75" customHeight="1">
      <c r="D706" s="142"/>
      <c r="E706" s="136"/>
      <c r="F706" s="15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35"/>
      <c r="R706" s="144"/>
      <c r="S706" s="144"/>
      <c r="T706" s="144"/>
      <c r="U706" s="135"/>
      <c r="V706" s="135"/>
    </row>
    <row r="707" spans="4:22" ht="24.75" customHeight="1">
      <c r="D707" s="142"/>
      <c r="E707" s="136"/>
      <c r="F707" s="15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35"/>
      <c r="R707" s="144"/>
      <c r="S707" s="144"/>
      <c r="T707" s="144"/>
      <c r="U707" s="135"/>
      <c r="V707" s="135"/>
    </row>
    <row r="708" spans="4:22" ht="24.75" customHeight="1">
      <c r="D708" s="142"/>
      <c r="E708" s="136"/>
      <c r="F708" s="15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35"/>
      <c r="R708" s="144"/>
      <c r="S708" s="144"/>
      <c r="T708" s="144"/>
      <c r="U708" s="135"/>
      <c r="V708" s="135"/>
    </row>
    <row r="709" spans="4:22" ht="24.75" customHeight="1">
      <c r="D709" s="142"/>
      <c r="E709" s="136"/>
      <c r="F709" s="15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35"/>
      <c r="R709" s="144"/>
      <c r="S709" s="144"/>
      <c r="T709" s="144"/>
      <c r="U709" s="135"/>
      <c r="V709" s="135"/>
    </row>
    <row r="710" spans="4:22" ht="24.75" customHeight="1">
      <c r="D710" s="142"/>
      <c r="E710" s="136"/>
      <c r="F710" s="15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35"/>
      <c r="R710" s="144"/>
      <c r="S710" s="144"/>
      <c r="T710" s="144"/>
      <c r="U710" s="135"/>
      <c r="V710" s="135"/>
    </row>
    <row r="711" spans="4:22" ht="24.75" customHeight="1">
      <c r="D711" s="142"/>
      <c r="E711" s="136"/>
      <c r="F711" s="15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35"/>
      <c r="R711" s="144"/>
      <c r="S711" s="144"/>
      <c r="T711" s="144"/>
      <c r="U711" s="135"/>
      <c r="V711" s="135"/>
    </row>
    <row r="712" spans="4:22" ht="24.75" customHeight="1">
      <c r="D712" s="142"/>
      <c r="E712" s="136"/>
      <c r="F712" s="15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35"/>
      <c r="R712" s="144"/>
      <c r="S712" s="144"/>
      <c r="T712" s="144"/>
      <c r="U712" s="135"/>
      <c r="V712" s="135"/>
    </row>
    <row r="713" spans="4:22" ht="24.75" customHeight="1">
      <c r="D713" s="142"/>
      <c r="E713" s="136"/>
      <c r="F713" s="15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35"/>
      <c r="R713" s="144"/>
      <c r="S713" s="144"/>
      <c r="T713" s="144"/>
      <c r="U713" s="135"/>
      <c r="V713" s="135"/>
    </row>
    <row r="714" spans="4:22" ht="24.75" customHeight="1">
      <c r="D714" s="142"/>
      <c r="E714" s="136"/>
      <c r="F714" s="15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35"/>
      <c r="R714" s="144"/>
      <c r="S714" s="144"/>
      <c r="T714" s="144"/>
      <c r="U714" s="135"/>
      <c r="V714" s="135"/>
    </row>
    <row r="715" spans="4:22" ht="24.75" customHeight="1">
      <c r="D715" s="142"/>
      <c r="E715" s="136"/>
      <c r="F715" s="15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35"/>
      <c r="R715" s="144"/>
      <c r="S715" s="144"/>
      <c r="T715" s="144"/>
      <c r="U715" s="135"/>
      <c r="V715" s="135"/>
    </row>
    <row r="716" spans="4:22" ht="24.75" customHeight="1">
      <c r="D716" s="142"/>
      <c r="E716" s="136"/>
      <c r="F716" s="15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35"/>
      <c r="R716" s="144"/>
      <c r="S716" s="144"/>
      <c r="T716" s="144"/>
      <c r="U716" s="135"/>
      <c r="V716" s="135"/>
    </row>
    <row r="717" spans="4:22" ht="24.75" customHeight="1">
      <c r="D717" s="142"/>
      <c r="E717" s="136"/>
      <c r="F717" s="15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35"/>
      <c r="R717" s="144"/>
      <c r="S717" s="144"/>
      <c r="T717" s="144"/>
      <c r="U717" s="135"/>
      <c r="V717" s="135"/>
    </row>
    <row r="718" spans="4:22" ht="24.75" customHeight="1">
      <c r="D718" s="142"/>
      <c r="E718" s="136"/>
      <c r="F718" s="15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35"/>
      <c r="R718" s="144"/>
      <c r="S718" s="144"/>
      <c r="T718" s="144"/>
      <c r="U718" s="135"/>
      <c r="V718" s="135"/>
    </row>
    <row r="719" spans="4:22" ht="24.75" customHeight="1">
      <c r="D719" s="142"/>
      <c r="E719" s="136"/>
      <c r="F719" s="15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35"/>
      <c r="R719" s="144"/>
      <c r="S719" s="144"/>
      <c r="T719" s="144"/>
      <c r="U719" s="135"/>
      <c r="V719" s="135"/>
    </row>
    <row r="720" spans="4:22" ht="24.75" customHeight="1">
      <c r="D720" s="142"/>
      <c r="E720" s="136"/>
      <c r="F720" s="15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35"/>
      <c r="R720" s="144"/>
      <c r="S720" s="144"/>
      <c r="T720" s="144"/>
      <c r="U720" s="135"/>
      <c r="V720" s="135"/>
    </row>
    <row r="721" spans="4:22" ht="24.75" customHeight="1">
      <c r="D721" s="142"/>
      <c r="E721" s="136"/>
      <c r="F721" s="15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35"/>
      <c r="R721" s="144"/>
      <c r="S721" s="144"/>
      <c r="T721" s="144"/>
      <c r="U721" s="135"/>
      <c r="V721" s="135"/>
    </row>
    <row r="722" spans="4:22" ht="24.75" customHeight="1">
      <c r="D722" s="142"/>
      <c r="E722" s="136"/>
      <c r="F722" s="15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35"/>
      <c r="R722" s="144"/>
      <c r="S722" s="144"/>
      <c r="T722" s="144"/>
      <c r="U722" s="135"/>
      <c r="V722" s="135"/>
    </row>
    <row r="723" spans="4:22" ht="24.75" customHeight="1">
      <c r="D723" s="142"/>
      <c r="E723" s="136"/>
      <c r="F723" s="15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35"/>
      <c r="R723" s="144"/>
      <c r="S723" s="144"/>
      <c r="T723" s="144"/>
      <c r="U723" s="135"/>
      <c r="V723" s="135"/>
    </row>
    <row r="724" spans="4:22" ht="24.75" customHeight="1">
      <c r="D724" s="142"/>
      <c r="E724" s="136"/>
      <c r="F724" s="15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35"/>
      <c r="R724" s="144"/>
      <c r="S724" s="144"/>
      <c r="T724" s="144"/>
      <c r="U724" s="135"/>
      <c r="V724" s="135"/>
    </row>
    <row r="725" spans="4:22" ht="24.75" customHeight="1">
      <c r="D725" s="142"/>
      <c r="E725" s="136"/>
      <c r="F725" s="15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35"/>
      <c r="R725" s="144"/>
      <c r="S725" s="144"/>
      <c r="T725" s="144"/>
      <c r="U725" s="135"/>
      <c r="V725" s="135"/>
    </row>
    <row r="726" spans="4:22" ht="24.75" customHeight="1">
      <c r="D726" s="142"/>
      <c r="E726" s="136"/>
      <c r="F726" s="15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35"/>
      <c r="R726" s="144"/>
      <c r="S726" s="144"/>
      <c r="T726" s="144"/>
      <c r="U726" s="135"/>
      <c r="V726" s="135"/>
    </row>
    <row r="727" spans="4:22" ht="24.75" customHeight="1">
      <c r="D727" s="142"/>
      <c r="E727" s="136"/>
      <c r="F727" s="15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35"/>
      <c r="R727" s="144"/>
      <c r="S727" s="144"/>
      <c r="T727" s="144"/>
      <c r="U727" s="135"/>
      <c r="V727" s="135"/>
    </row>
    <row r="728" spans="4:22" ht="24.75" customHeight="1">
      <c r="D728" s="142"/>
      <c r="E728" s="136"/>
      <c r="F728" s="15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35"/>
      <c r="R728" s="144"/>
      <c r="S728" s="144"/>
      <c r="T728" s="144"/>
      <c r="U728" s="135"/>
      <c r="V728" s="135"/>
    </row>
    <row r="729" spans="4:22" ht="24.75" customHeight="1">
      <c r="D729" s="142"/>
      <c r="E729" s="136"/>
      <c r="F729" s="15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35"/>
      <c r="R729" s="144"/>
      <c r="S729" s="144"/>
      <c r="T729" s="144"/>
      <c r="U729" s="135"/>
      <c r="V729" s="135"/>
    </row>
    <row r="730" spans="4:22" ht="24.75" customHeight="1">
      <c r="D730" s="142"/>
      <c r="E730" s="136"/>
      <c r="F730" s="15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35"/>
      <c r="R730" s="144"/>
      <c r="S730" s="144"/>
      <c r="T730" s="144"/>
      <c r="U730" s="135"/>
      <c r="V730" s="135"/>
    </row>
    <row r="731" spans="4:22" ht="24.75" customHeight="1">
      <c r="D731" s="142"/>
      <c r="E731" s="136"/>
      <c r="F731" s="15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35"/>
      <c r="R731" s="144"/>
      <c r="S731" s="144"/>
      <c r="T731" s="144"/>
      <c r="U731" s="135"/>
      <c r="V731" s="135"/>
    </row>
    <row r="732" spans="4:22" ht="24.75" customHeight="1">
      <c r="D732" s="142"/>
      <c r="E732" s="136"/>
      <c r="F732" s="15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35"/>
      <c r="R732" s="144"/>
      <c r="S732" s="144"/>
      <c r="T732" s="144"/>
      <c r="U732" s="135"/>
      <c r="V732" s="135"/>
    </row>
    <row r="733" spans="4:22" ht="24.75" customHeight="1">
      <c r="D733" s="142"/>
      <c r="E733" s="136"/>
      <c r="F733" s="15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35"/>
      <c r="R733" s="144"/>
      <c r="S733" s="144"/>
      <c r="T733" s="144"/>
      <c r="U733" s="135"/>
      <c r="V733" s="135"/>
    </row>
    <row r="734" spans="4:22" ht="24.75" customHeight="1">
      <c r="D734" s="142"/>
      <c r="E734" s="136"/>
      <c r="F734" s="15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35"/>
      <c r="R734" s="144"/>
      <c r="S734" s="144"/>
      <c r="T734" s="144"/>
      <c r="U734" s="135"/>
      <c r="V734" s="135"/>
    </row>
    <row r="735" spans="4:22" ht="24.75" customHeight="1">
      <c r="D735" s="142"/>
      <c r="E735" s="136"/>
      <c r="F735" s="15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35"/>
      <c r="R735" s="144"/>
      <c r="S735" s="144"/>
      <c r="T735" s="144"/>
      <c r="U735" s="135"/>
      <c r="V735" s="135"/>
    </row>
    <row r="736" spans="4:22" ht="24.75" customHeight="1">
      <c r="D736" s="142"/>
      <c r="E736" s="136"/>
      <c r="F736" s="15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35"/>
      <c r="R736" s="144"/>
      <c r="S736" s="144"/>
      <c r="T736" s="144"/>
      <c r="U736" s="135"/>
      <c r="V736" s="135"/>
    </row>
    <row r="737" spans="4:22" ht="24.75" customHeight="1">
      <c r="D737" s="142"/>
      <c r="E737" s="136"/>
      <c r="F737" s="15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35"/>
      <c r="R737" s="144"/>
      <c r="S737" s="144"/>
      <c r="T737" s="144"/>
      <c r="U737" s="135"/>
      <c r="V737" s="135"/>
    </row>
    <row r="738" spans="4:22" ht="24.75" customHeight="1">
      <c r="D738" s="142"/>
      <c r="E738" s="136"/>
      <c r="F738" s="15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35"/>
      <c r="R738" s="144"/>
      <c r="S738" s="144"/>
      <c r="T738" s="144"/>
      <c r="U738" s="135"/>
      <c r="V738" s="135"/>
    </row>
    <row r="739" spans="4:22" ht="24.75" customHeight="1">
      <c r="D739" s="142"/>
      <c r="E739" s="136"/>
      <c r="F739" s="15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35"/>
      <c r="R739" s="144"/>
      <c r="S739" s="144"/>
      <c r="T739" s="144"/>
      <c r="U739" s="135"/>
      <c r="V739" s="135"/>
    </row>
    <row r="740" spans="4:22" ht="24.75" customHeight="1">
      <c r="D740" s="142"/>
      <c r="E740" s="136"/>
      <c r="F740" s="15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35"/>
      <c r="R740" s="144"/>
      <c r="S740" s="144"/>
      <c r="T740" s="144"/>
      <c r="U740" s="135"/>
      <c r="V740" s="135"/>
    </row>
    <row r="741" spans="4:22" ht="24.75" customHeight="1">
      <c r="D741" s="142"/>
      <c r="E741" s="136"/>
      <c r="F741" s="15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35"/>
      <c r="R741" s="144"/>
      <c r="S741" s="144"/>
      <c r="T741" s="144"/>
      <c r="U741" s="135"/>
      <c r="V741" s="135"/>
    </row>
    <row r="742" spans="4:22" ht="24.75" customHeight="1">
      <c r="D742" s="142"/>
      <c r="E742" s="136"/>
      <c r="F742" s="15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35"/>
      <c r="R742" s="144"/>
      <c r="S742" s="144"/>
      <c r="T742" s="144"/>
      <c r="U742" s="135"/>
      <c r="V742" s="135"/>
    </row>
    <row r="743" spans="4:22" ht="24.75" customHeight="1">
      <c r="D743" s="142"/>
      <c r="E743" s="136"/>
      <c r="F743" s="15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35"/>
      <c r="R743" s="144"/>
      <c r="S743" s="144"/>
      <c r="T743" s="144"/>
      <c r="U743" s="135"/>
      <c r="V743" s="135"/>
    </row>
    <row r="744" spans="4:22" ht="24.75" customHeight="1">
      <c r="D744" s="142"/>
      <c r="E744" s="136"/>
      <c r="F744" s="15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35"/>
      <c r="R744" s="144"/>
      <c r="S744" s="144"/>
      <c r="T744" s="144"/>
      <c r="U744" s="135"/>
      <c r="V744" s="135"/>
    </row>
    <row r="745" spans="4:22" ht="24.75" customHeight="1">
      <c r="D745" s="142"/>
      <c r="E745" s="136"/>
      <c r="F745" s="15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35"/>
      <c r="R745" s="144"/>
      <c r="S745" s="144"/>
      <c r="T745" s="144"/>
      <c r="U745" s="135"/>
      <c r="V745" s="135"/>
    </row>
    <row r="746" spans="4:22" ht="24.75" customHeight="1">
      <c r="D746" s="142"/>
      <c r="E746" s="136"/>
      <c r="F746" s="15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35"/>
      <c r="R746" s="144"/>
      <c r="S746" s="144"/>
      <c r="T746" s="144"/>
      <c r="U746" s="135"/>
      <c r="V746" s="135"/>
    </row>
    <row r="747" spans="4:22" ht="24.75" customHeight="1">
      <c r="D747" s="142"/>
      <c r="E747" s="136"/>
      <c r="F747" s="15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35"/>
      <c r="R747" s="144"/>
      <c r="S747" s="144"/>
      <c r="T747" s="144"/>
      <c r="U747" s="135"/>
      <c r="V747" s="135"/>
    </row>
    <row r="748" spans="4:22" ht="24.75" customHeight="1">
      <c r="D748" s="142"/>
      <c r="E748" s="136"/>
      <c r="F748" s="15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35"/>
      <c r="R748" s="144"/>
      <c r="S748" s="144"/>
      <c r="T748" s="144"/>
      <c r="U748" s="135"/>
      <c r="V748" s="135"/>
    </row>
    <row r="749" spans="4:22" ht="24.75" customHeight="1">
      <c r="D749" s="142"/>
      <c r="E749" s="136"/>
      <c r="F749" s="15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35"/>
      <c r="R749" s="144"/>
      <c r="S749" s="144"/>
      <c r="T749" s="144"/>
      <c r="U749" s="135"/>
      <c r="V749" s="135"/>
    </row>
    <row r="750" spans="4:22" ht="24.75" customHeight="1">
      <c r="D750" s="142"/>
      <c r="E750" s="136"/>
      <c r="F750" s="15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35"/>
      <c r="R750" s="144"/>
      <c r="S750" s="144"/>
      <c r="T750" s="144"/>
      <c r="U750" s="135"/>
      <c r="V750" s="135"/>
    </row>
    <row r="751" spans="4:22" ht="24.75" customHeight="1">
      <c r="D751" s="142"/>
      <c r="E751" s="136"/>
      <c r="F751" s="15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35"/>
      <c r="R751" s="144"/>
      <c r="S751" s="144"/>
      <c r="T751" s="144"/>
      <c r="U751" s="135"/>
      <c r="V751" s="135"/>
    </row>
    <row r="752" spans="4:22" ht="24.75" customHeight="1">
      <c r="D752" s="142"/>
      <c r="E752" s="136"/>
      <c r="F752" s="15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35"/>
      <c r="R752" s="144"/>
      <c r="S752" s="144"/>
      <c r="T752" s="144"/>
      <c r="U752" s="135"/>
      <c r="V752" s="135"/>
    </row>
    <row r="753" spans="4:22" ht="24.75" customHeight="1">
      <c r="D753" s="142"/>
      <c r="E753" s="136"/>
      <c r="F753" s="15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35"/>
      <c r="R753" s="144"/>
      <c r="S753" s="144"/>
      <c r="T753" s="144"/>
      <c r="U753" s="135"/>
      <c r="V753" s="135"/>
    </row>
    <row r="754" spans="4:22" ht="24.75" customHeight="1">
      <c r="D754" s="142"/>
      <c r="E754" s="136"/>
      <c r="F754" s="15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35"/>
      <c r="R754" s="144"/>
      <c r="S754" s="144"/>
      <c r="T754" s="144"/>
      <c r="U754" s="135"/>
      <c r="V754" s="135"/>
    </row>
    <row r="755" spans="4:22" ht="24.75" customHeight="1">
      <c r="D755" s="142"/>
      <c r="E755" s="136"/>
      <c r="F755" s="15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35"/>
      <c r="R755" s="144"/>
      <c r="S755" s="144"/>
      <c r="T755" s="144"/>
      <c r="U755" s="135"/>
      <c r="V755" s="135"/>
    </row>
    <row r="756" spans="4:22" ht="24.75" customHeight="1">
      <c r="D756" s="142"/>
      <c r="E756" s="136"/>
      <c r="F756" s="15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35"/>
      <c r="R756" s="144"/>
      <c r="S756" s="144"/>
      <c r="T756" s="144"/>
      <c r="U756" s="135"/>
      <c r="V756" s="135"/>
    </row>
    <row r="757" spans="4:22" ht="24.75" customHeight="1">
      <c r="D757" s="142"/>
      <c r="E757" s="136"/>
      <c r="F757" s="15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35"/>
      <c r="R757" s="144"/>
      <c r="S757" s="144"/>
      <c r="T757" s="144"/>
      <c r="U757" s="135"/>
      <c r="V757" s="135"/>
    </row>
    <row r="758" spans="4:22" ht="24.75" customHeight="1">
      <c r="D758" s="142"/>
      <c r="E758" s="136"/>
      <c r="F758" s="15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35"/>
      <c r="R758" s="144"/>
      <c r="S758" s="144"/>
      <c r="T758" s="144"/>
      <c r="U758" s="135"/>
      <c r="V758" s="135"/>
    </row>
    <row r="759" spans="4:22" ht="24.75" customHeight="1">
      <c r="D759" s="142"/>
      <c r="E759" s="136"/>
      <c r="F759" s="15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35"/>
      <c r="R759" s="144"/>
      <c r="S759" s="144"/>
      <c r="T759" s="144"/>
      <c r="U759" s="135"/>
      <c r="V759" s="135"/>
    </row>
    <row r="760" spans="4:22" ht="24.75" customHeight="1">
      <c r="D760" s="142"/>
      <c r="E760" s="136"/>
      <c r="F760" s="15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35"/>
      <c r="R760" s="144"/>
      <c r="S760" s="144"/>
      <c r="T760" s="144"/>
      <c r="U760" s="135"/>
      <c r="V760" s="135"/>
    </row>
    <row r="761" spans="4:22" ht="24.75" customHeight="1">
      <c r="D761" s="142"/>
      <c r="E761" s="136"/>
      <c r="F761" s="15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35"/>
      <c r="R761" s="144"/>
      <c r="S761" s="144"/>
      <c r="T761" s="144"/>
      <c r="U761" s="135"/>
      <c r="V761" s="135"/>
    </row>
    <row r="762" spans="4:22" ht="24.75" customHeight="1">
      <c r="D762" s="142"/>
      <c r="E762" s="136"/>
      <c r="F762" s="15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35"/>
      <c r="R762" s="144"/>
      <c r="S762" s="144"/>
      <c r="T762" s="144"/>
      <c r="U762" s="135"/>
      <c r="V762" s="135"/>
    </row>
    <row r="763" spans="4:22" ht="24.75" customHeight="1">
      <c r="D763" s="142"/>
      <c r="E763" s="136"/>
      <c r="F763" s="15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35"/>
      <c r="R763" s="144"/>
      <c r="S763" s="144"/>
      <c r="T763" s="144"/>
      <c r="U763" s="135"/>
      <c r="V763" s="135"/>
    </row>
    <row r="764" spans="4:22" ht="24.75" customHeight="1">
      <c r="D764" s="142"/>
      <c r="E764" s="136"/>
      <c r="F764" s="15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35"/>
      <c r="R764" s="144"/>
      <c r="S764" s="144"/>
      <c r="T764" s="144"/>
      <c r="U764" s="135"/>
      <c r="V764" s="135"/>
    </row>
    <row r="765" spans="4:22" ht="24.75" customHeight="1">
      <c r="D765" s="142"/>
      <c r="E765" s="136"/>
      <c r="F765" s="15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35"/>
      <c r="R765" s="144"/>
      <c r="S765" s="144"/>
      <c r="T765" s="144"/>
      <c r="U765" s="135"/>
      <c r="V765" s="135"/>
    </row>
    <row r="766" spans="4:22" ht="24.75" customHeight="1">
      <c r="D766" s="142"/>
      <c r="E766" s="136"/>
      <c r="F766" s="15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35"/>
      <c r="R766" s="144"/>
      <c r="S766" s="144"/>
      <c r="T766" s="144"/>
      <c r="U766" s="135"/>
      <c r="V766" s="135"/>
    </row>
    <row r="767" spans="4:22" ht="24.75" customHeight="1">
      <c r="D767" s="142"/>
      <c r="E767" s="136"/>
      <c r="F767" s="15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35"/>
      <c r="R767" s="144"/>
      <c r="S767" s="144"/>
      <c r="T767" s="144"/>
      <c r="U767" s="135"/>
      <c r="V767" s="135"/>
    </row>
    <row r="768" spans="4:22" ht="24.75" customHeight="1">
      <c r="D768" s="142"/>
      <c r="E768" s="136"/>
      <c r="F768" s="15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35"/>
      <c r="R768" s="144"/>
      <c r="S768" s="144"/>
      <c r="T768" s="144"/>
      <c r="U768" s="135"/>
      <c r="V768" s="135"/>
    </row>
    <row r="769" spans="4:22" ht="24.75" customHeight="1">
      <c r="D769" s="142"/>
      <c r="E769" s="136"/>
      <c r="F769" s="15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35"/>
      <c r="R769" s="144"/>
      <c r="S769" s="144"/>
      <c r="T769" s="144"/>
      <c r="U769" s="135"/>
      <c r="V769" s="135"/>
    </row>
    <row r="770" spans="4:22" ht="24.75" customHeight="1">
      <c r="D770" s="142"/>
      <c r="E770" s="136"/>
      <c r="F770" s="15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35"/>
      <c r="R770" s="144"/>
      <c r="S770" s="144"/>
      <c r="T770" s="144"/>
      <c r="U770" s="135"/>
      <c r="V770" s="135"/>
    </row>
    <row r="771" spans="4:22" ht="24.75" customHeight="1">
      <c r="D771" s="142"/>
      <c r="E771" s="136"/>
      <c r="F771" s="15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35"/>
      <c r="R771" s="144"/>
      <c r="S771" s="144"/>
      <c r="T771" s="144"/>
      <c r="U771" s="135"/>
      <c r="V771" s="135"/>
    </row>
    <row r="772" spans="4:22" ht="24.75" customHeight="1">
      <c r="D772" s="142"/>
      <c r="E772" s="136"/>
      <c r="F772" s="15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35"/>
      <c r="R772" s="144"/>
      <c r="S772" s="144"/>
      <c r="T772" s="144"/>
      <c r="U772" s="135"/>
      <c r="V772" s="135"/>
    </row>
    <row r="773" spans="4:22" ht="24.75" customHeight="1">
      <c r="D773" s="142"/>
      <c r="E773" s="136"/>
      <c r="F773" s="15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35"/>
      <c r="R773" s="144"/>
      <c r="S773" s="144"/>
      <c r="T773" s="144"/>
      <c r="U773" s="135"/>
      <c r="V773" s="135"/>
    </row>
    <row r="774" spans="4:22" ht="24.75" customHeight="1">
      <c r="D774" s="142"/>
      <c r="E774" s="136"/>
      <c r="F774" s="15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35"/>
      <c r="R774" s="144"/>
      <c r="S774" s="144"/>
      <c r="T774" s="144"/>
      <c r="U774" s="135"/>
      <c r="V774" s="135"/>
    </row>
    <row r="775" spans="4:22" ht="24.75" customHeight="1">
      <c r="D775" s="142"/>
      <c r="E775" s="136"/>
      <c r="F775" s="15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35"/>
      <c r="R775" s="144"/>
      <c r="S775" s="144"/>
      <c r="T775" s="144"/>
      <c r="U775" s="135"/>
      <c r="V775" s="135"/>
    </row>
    <row r="776" spans="4:22" ht="24.75" customHeight="1">
      <c r="D776" s="142"/>
      <c r="E776" s="136"/>
      <c r="F776" s="15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35"/>
      <c r="R776" s="144"/>
      <c r="S776" s="144"/>
      <c r="T776" s="144"/>
      <c r="U776" s="135"/>
      <c r="V776" s="135"/>
    </row>
    <row r="777" spans="4:22" ht="24.75" customHeight="1">
      <c r="D777" s="142"/>
      <c r="E777" s="136"/>
      <c r="F777" s="15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35"/>
      <c r="R777" s="144"/>
      <c r="S777" s="144"/>
      <c r="T777" s="144"/>
      <c r="U777" s="135"/>
      <c r="V777" s="135"/>
    </row>
    <row r="778" spans="4:22" ht="24.75" customHeight="1">
      <c r="D778" s="142"/>
      <c r="E778" s="136"/>
      <c r="F778" s="15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35"/>
      <c r="R778" s="144"/>
      <c r="S778" s="144"/>
      <c r="T778" s="144"/>
      <c r="U778" s="135"/>
      <c r="V778" s="135"/>
    </row>
    <row r="779" spans="4:22" ht="24.75" customHeight="1">
      <c r="D779" s="142"/>
      <c r="E779" s="136"/>
      <c r="F779" s="15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35"/>
      <c r="R779" s="144"/>
      <c r="S779" s="144"/>
      <c r="T779" s="144"/>
      <c r="U779" s="135"/>
      <c r="V779" s="135"/>
    </row>
    <row r="780" spans="4:22" ht="24.75" customHeight="1">
      <c r="D780" s="142"/>
      <c r="E780" s="136"/>
      <c r="F780" s="15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35"/>
      <c r="R780" s="144"/>
      <c r="S780" s="144"/>
      <c r="T780" s="144"/>
      <c r="U780" s="135"/>
      <c r="V780" s="135"/>
    </row>
    <row r="781" spans="4:22" ht="24.75" customHeight="1">
      <c r="D781" s="142"/>
      <c r="E781" s="136"/>
      <c r="F781" s="15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35"/>
      <c r="R781" s="144"/>
      <c r="S781" s="144"/>
      <c r="T781" s="144"/>
      <c r="U781" s="135"/>
      <c r="V781" s="135"/>
    </row>
    <row r="782" spans="4:22" ht="24.75" customHeight="1">
      <c r="D782" s="142"/>
      <c r="E782" s="136"/>
      <c r="F782" s="15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35"/>
      <c r="R782" s="144"/>
      <c r="S782" s="144"/>
      <c r="T782" s="144"/>
      <c r="U782" s="135"/>
      <c r="V782" s="135"/>
    </row>
    <row r="783" spans="4:22" ht="24.75" customHeight="1">
      <c r="D783" s="142"/>
      <c r="E783" s="136"/>
      <c r="F783" s="15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35"/>
      <c r="R783" s="144"/>
      <c r="S783" s="144"/>
      <c r="T783" s="144"/>
      <c r="U783" s="135"/>
      <c r="V783" s="135"/>
    </row>
    <row r="784" spans="4:22" ht="24.75" customHeight="1">
      <c r="D784" s="142"/>
      <c r="E784" s="136"/>
      <c r="F784" s="15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35"/>
      <c r="R784" s="144"/>
      <c r="S784" s="144"/>
      <c r="T784" s="144"/>
      <c r="U784" s="135"/>
      <c r="V784" s="135"/>
    </row>
    <row r="785" spans="4:22" ht="24.75" customHeight="1">
      <c r="D785" s="142"/>
      <c r="E785" s="136"/>
      <c r="F785" s="15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35"/>
      <c r="R785" s="144"/>
      <c r="S785" s="144"/>
      <c r="T785" s="144"/>
      <c r="U785" s="135"/>
      <c r="V785" s="135"/>
    </row>
    <row r="786" spans="4:22" ht="24.75" customHeight="1">
      <c r="D786" s="142"/>
      <c r="E786" s="136"/>
      <c r="F786" s="15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35"/>
      <c r="R786" s="144"/>
      <c r="S786" s="144"/>
      <c r="T786" s="144"/>
      <c r="U786" s="135"/>
      <c r="V786" s="135"/>
    </row>
    <row r="787" spans="4:22" ht="24.75" customHeight="1">
      <c r="D787" s="142"/>
      <c r="E787" s="136"/>
      <c r="F787" s="15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35"/>
      <c r="R787" s="144"/>
      <c r="S787" s="144"/>
      <c r="T787" s="144"/>
      <c r="U787" s="135"/>
      <c r="V787" s="135"/>
    </row>
    <row r="788" spans="4:22" ht="24.75" customHeight="1">
      <c r="D788" s="142"/>
      <c r="E788" s="136"/>
      <c r="F788" s="15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35"/>
      <c r="R788" s="144"/>
      <c r="S788" s="144"/>
      <c r="T788" s="144"/>
      <c r="U788" s="135"/>
      <c r="V788" s="135"/>
    </row>
    <row r="789" spans="4:22" ht="24.75" customHeight="1">
      <c r="D789" s="142"/>
      <c r="E789" s="136"/>
      <c r="F789" s="15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35"/>
      <c r="R789" s="144"/>
      <c r="S789" s="144"/>
      <c r="T789" s="144"/>
      <c r="U789" s="135"/>
      <c r="V789" s="135"/>
    </row>
    <row r="790" spans="4:22" ht="24.75" customHeight="1">
      <c r="D790" s="142"/>
      <c r="E790" s="136"/>
      <c r="F790" s="15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35"/>
      <c r="R790" s="144"/>
      <c r="S790" s="144"/>
      <c r="T790" s="144"/>
      <c r="U790" s="135"/>
      <c r="V790" s="135"/>
    </row>
    <row r="791" spans="4:22" ht="24.75" customHeight="1">
      <c r="D791" s="142"/>
      <c r="E791" s="136"/>
      <c r="F791" s="15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35"/>
      <c r="R791" s="144"/>
      <c r="S791" s="144"/>
      <c r="T791" s="144"/>
      <c r="U791" s="135"/>
      <c r="V791" s="135"/>
    </row>
    <row r="792" spans="4:22" ht="24.75" customHeight="1">
      <c r="D792" s="142"/>
      <c r="E792" s="136"/>
      <c r="F792" s="15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35"/>
      <c r="R792" s="144"/>
      <c r="S792" s="144"/>
      <c r="T792" s="144"/>
      <c r="U792" s="135"/>
      <c r="V792" s="135"/>
    </row>
    <row r="793" spans="4:22" ht="24.75" customHeight="1">
      <c r="D793" s="142"/>
      <c r="E793" s="136"/>
      <c r="F793" s="15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35"/>
      <c r="R793" s="144"/>
      <c r="S793" s="144"/>
      <c r="T793" s="144"/>
      <c r="U793" s="135"/>
      <c r="V793" s="135"/>
    </row>
    <row r="794" spans="4:22" ht="24.75" customHeight="1">
      <c r="D794" s="142"/>
      <c r="E794" s="136"/>
      <c r="F794" s="15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35"/>
      <c r="R794" s="144"/>
      <c r="S794" s="144"/>
      <c r="T794" s="144"/>
      <c r="U794" s="135"/>
      <c r="V794" s="135"/>
    </row>
    <row r="795" spans="4:22" ht="24.75" customHeight="1">
      <c r="D795" s="142"/>
      <c r="E795" s="136"/>
      <c r="F795" s="15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35"/>
      <c r="R795" s="144"/>
      <c r="S795" s="144"/>
      <c r="T795" s="144"/>
      <c r="U795" s="135"/>
      <c r="V795" s="135"/>
    </row>
    <row r="796" spans="4:22" ht="24.75" customHeight="1">
      <c r="D796" s="142"/>
      <c r="E796" s="136"/>
      <c r="F796" s="15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35"/>
      <c r="R796" s="144"/>
      <c r="S796" s="144"/>
      <c r="T796" s="144"/>
      <c r="U796" s="135"/>
      <c r="V796" s="135"/>
    </row>
    <row r="797" spans="4:22" ht="24.75" customHeight="1">
      <c r="D797" s="142"/>
      <c r="E797" s="136"/>
      <c r="F797" s="15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35"/>
      <c r="R797" s="144"/>
      <c r="S797" s="144"/>
      <c r="T797" s="144"/>
      <c r="U797" s="135"/>
      <c r="V797" s="135"/>
    </row>
    <row r="798" spans="4:22" ht="24.75" customHeight="1">
      <c r="D798" s="142"/>
      <c r="E798" s="136"/>
      <c r="F798" s="15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35"/>
      <c r="R798" s="144"/>
      <c r="S798" s="144"/>
      <c r="T798" s="144"/>
      <c r="U798" s="135"/>
      <c r="V798" s="135"/>
    </row>
    <row r="799" spans="4:22" ht="24.75" customHeight="1">
      <c r="D799" s="142"/>
      <c r="E799" s="136"/>
      <c r="F799" s="15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35"/>
      <c r="R799" s="144"/>
      <c r="S799" s="144"/>
      <c r="T799" s="144"/>
      <c r="U799" s="135"/>
      <c r="V799" s="135"/>
    </row>
    <row r="800" spans="4:22" ht="24.75" customHeight="1">
      <c r="D800" s="142"/>
      <c r="E800" s="136"/>
      <c r="F800" s="15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35"/>
      <c r="R800" s="144"/>
      <c r="S800" s="144"/>
      <c r="T800" s="144"/>
      <c r="U800" s="135"/>
      <c r="V800" s="135"/>
    </row>
    <row r="801" spans="4:22" ht="24.75" customHeight="1">
      <c r="D801" s="142"/>
      <c r="E801" s="136"/>
      <c r="F801" s="15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35"/>
      <c r="R801" s="144"/>
      <c r="S801" s="144"/>
      <c r="T801" s="144"/>
      <c r="U801" s="135"/>
      <c r="V801" s="135"/>
    </row>
    <row r="802" spans="4:22" ht="24.75" customHeight="1">
      <c r="D802" s="142"/>
      <c r="E802" s="136"/>
      <c r="F802" s="15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35"/>
      <c r="R802" s="144"/>
      <c r="S802" s="144"/>
      <c r="T802" s="144"/>
      <c r="U802" s="135"/>
      <c r="V802" s="135"/>
    </row>
    <row r="803" spans="4:22" ht="24.75" customHeight="1">
      <c r="D803" s="142"/>
      <c r="E803" s="136"/>
      <c r="F803" s="15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35"/>
      <c r="R803" s="144"/>
      <c r="S803" s="144"/>
      <c r="T803" s="144"/>
      <c r="U803" s="135"/>
      <c r="V803" s="135"/>
    </row>
    <row r="804" spans="4:22" ht="24.75" customHeight="1">
      <c r="D804" s="142"/>
      <c r="E804" s="136"/>
      <c r="F804" s="15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35"/>
      <c r="R804" s="144"/>
      <c r="S804" s="144"/>
      <c r="T804" s="144"/>
      <c r="U804" s="135"/>
      <c r="V804" s="135"/>
    </row>
    <row r="805" spans="4:22" ht="24.75" customHeight="1">
      <c r="D805" s="142"/>
      <c r="E805" s="136"/>
      <c r="F805" s="15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35"/>
      <c r="R805" s="144"/>
      <c r="S805" s="144"/>
      <c r="T805" s="144"/>
      <c r="U805" s="135"/>
      <c r="V805" s="135"/>
    </row>
    <row r="806" spans="4:22" ht="24.75" customHeight="1">
      <c r="D806" s="142"/>
      <c r="E806" s="136"/>
      <c r="F806" s="15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35"/>
      <c r="R806" s="144"/>
      <c r="S806" s="144"/>
      <c r="T806" s="144"/>
      <c r="U806" s="135"/>
      <c r="V806" s="135"/>
    </row>
    <row r="807" spans="4:22" ht="24.75" customHeight="1">
      <c r="D807" s="142"/>
      <c r="E807" s="136"/>
      <c r="F807" s="15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35"/>
      <c r="R807" s="144"/>
      <c r="S807" s="144"/>
      <c r="T807" s="144"/>
      <c r="U807" s="135"/>
      <c r="V807" s="135"/>
    </row>
    <row r="808" spans="4:22" ht="24.75" customHeight="1">
      <c r="D808" s="142"/>
      <c r="E808" s="136"/>
      <c r="F808" s="15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35"/>
      <c r="R808" s="144"/>
      <c r="S808" s="144"/>
      <c r="T808" s="144"/>
      <c r="U808" s="135"/>
      <c r="V808" s="135"/>
    </row>
    <row r="809" spans="4:22" ht="24.75" customHeight="1">
      <c r="D809" s="142"/>
      <c r="E809" s="136"/>
      <c r="F809" s="15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35"/>
      <c r="R809" s="144"/>
      <c r="S809" s="144"/>
      <c r="T809" s="144"/>
      <c r="U809" s="135"/>
      <c r="V809" s="135"/>
    </row>
    <row r="810" spans="4:22" ht="24.75" customHeight="1">
      <c r="D810" s="142"/>
      <c r="E810" s="136"/>
      <c r="F810" s="15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35"/>
      <c r="R810" s="144"/>
      <c r="S810" s="144"/>
      <c r="T810" s="144"/>
      <c r="U810" s="135"/>
      <c r="V810" s="135"/>
    </row>
    <row r="811" spans="4:22" ht="24.75" customHeight="1">
      <c r="D811" s="142"/>
      <c r="E811" s="136"/>
      <c r="F811" s="15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35"/>
      <c r="R811" s="144"/>
      <c r="S811" s="144"/>
      <c r="T811" s="144"/>
      <c r="U811" s="135"/>
      <c r="V811" s="135"/>
    </row>
    <row r="812" spans="4:22" ht="24.75" customHeight="1">
      <c r="D812" s="142"/>
      <c r="E812" s="136"/>
      <c r="F812" s="15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35"/>
      <c r="R812" s="144"/>
      <c r="S812" s="144"/>
      <c r="T812" s="144"/>
      <c r="U812" s="135"/>
      <c r="V812" s="135"/>
    </row>
    <row r="813" spans="4:22" ht="24.75" customHeight="1">
      <c r="D813" s="142"/>
      <c r="E813" s="136"/>
      <c r="F813" s="15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35"/>
      <c r="R813" s="144"/>
      <c r="S813" s="144"/>
      <c r="T813" s="144"/>
      <c r="U813" s="135"/>
      <c r="V813" s="135"/>
    </row>
    <row r="814" spans="4:22" ht="24.75" customHeight="1">
      <c r="D814" s="142"/>
      <c r="E814" s="136"/>
      <c r="F814" s="15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35"/>
      <c r="R814" s="144"/>
      <c r="S814" s="144"/>
      <c r="T814" s="144"/>
      <c r="U814" s="135"/>
      <c r="V814" s="135"/>
    </row>
    <row r="815" spans="4:22" ht="24.75" customHeight="1">
      <c r="D815" s="142"/>
      <c r="E815" s="136"/>
      <c r="F815" s="15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35"/>
      <c r="R815" s="144"/>
      <c r="S815" s="144"/>
      <c r="T815" s="144"/>
      <c r="U815" s="135"/>
      <c r="V815" s="135"/>
    </row>
    <row r="816" spans="4:22" ht="24.75" customHeight="1">
      <c r="D816" s="142"/>
      <c r="E816" s="136"/>
      <c r="F816" s="15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35"/>
      <c r="R816" s="144"/>
      <c r="S816" s="144"/>
      <c r="T816" s="144"/>
      <c r="U816" s="135"/>
      <c r="V816" s="135"/>
    </row>
    <row r="817" spans="4:22" ht="24.75" customHeight="1">
      <c r="D817" s="142"/>
      <c r="E817" s="136"/>
      <c r="F817" s="15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35"/>
      <c r="R817" s="144"/>
      <c r="S817" s="144"/>
      <c r="T817" s="144"/>
      <c r="U817" s="135"/>
      <c r="V817" s="135"/>
    </row>
    <row r="818" spans="4:22" ht="24.75" customHeight="1">
      <c r="D818" s="142"/>
      <c r="E818" s="136"/>
      <c r="F818" s="15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35"/>
      <c r="R818" s="144"/>
      <c r="S818" s="144"/>
      <c r="T818" s="144"/>
      <c r="U818" s="135"/>
      <c r="V818" s="135"/>
    </row>
    <row r="819" spans="4:22" ht="24.75" customHeight="1">
      <c r="D819" s="142"/>
      <c r="E819" s="136"/>
      <c r="F819" s="15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35"/>
      <c r="R819" s="144"/>
      <c r="S819" s="144"/>
      <c r="T819" s="144"/>
      <c r="U819" s="135"/>
      <c r="V819" s="135"/>
    </row>
    <row r="820" spans="4:22" ht="24.75" customHeight="1">
      <c r="D820" s="142"/>
      <c r="E820" s="136"/>
      <c r="F820" s="15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35"/>
      <c r="R820" s="144"/>
      <c r="S820" s="144"/>
      <c r="T820" s="144"/>
      <c r="U820" s="135"/>
      <c r="V820" s="135"/>
    </row>
    <row r="821" spans="4:22" ht="24.75" customHeight="1">
      <c r="D821" s="142"/>
      <c r="E821" s="136"/>
      <c r="F821" s="15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35"/>
      <c r="R821" s="144"/>
      <c r="S821" s="144"/>
      <c r="T821" s="144"/>
      <c r="U821" s="135"/>
      <c r="V821" s="135"/>
    </row>
    <row r="822" spans="4:22" ht="24.75" customHeight="1">
      <c r="D822" s="142"/>
      <c r="E822" s="136"/>
      <c r="F822" s="15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35"/>
      <c r="R822" s="144"/>
      <c r="S822" s="144"/>
      <c r="T822" s="144"/>
      <c r="U822" s="135"/>
      <c r="V822" s="135"/>
    </row>
    <row r="823" spans="4:22" ht="24.75" customHeight="1">
      <c r="D823" s="142"/>
      <c r="E823" s="136"/>
      <c r="F823" s="15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35"/>
      <c r="R823" s="144"/>
      <c r="S823" s="144"/>
      <c r="T823" s="144"/>
      <c r="U823" s="135"/>
      <c r="V823" s="135"/>
    </row>
    <row r="824" spans="4:22" ht="24.75" customHeight="1">
      <c r="D824" s="142"/>
      <c r="E824" s="136"/>
      <c r="F824" s="15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35"/>
      <c r="R824" s="144"/>
      <c r="S824" s="144"/>
      <c r="T824" s="144"/>
      <c r="U824" s="135"/>
      <c r="V824" s="135"/>
    </row>
    <row r="825" spans="4:22" ht="24.75" customHeight="1">
      <c r="D825" s="142"/>
      <c r="E825" s="136"/>
      <c r="F825" s="15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35"/>
      <c r="R825" s="144"/>
      <c r="S825" s="144"/>
      <c r="T825" s="144"/>
      <c r="U825" s="135"/>
      <c r="V825" s="135"/>
    </row>
    <row r="826" spans="4:22" ht="24.75" customHeight="1">
      <c r="D826" s="142"/>
      <c r="E826" s="136"/>
      <c r="F826" s="15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35"/>
      <c r="R826" s="144"/>
      <c r="S826" s="144"/>
      <c r="T826" s="144"/>
      <c r="U826" s="135"/>
      <c r="V826" s="135"/>
    </row>
    <row r="827" spans="4:22" ht="24.75" customHeight="1">
      <c r="D827" s="142"/>
      <c r="E827" s="136"/>
      <c r="F827" s="15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35"/>
      <c r="R827" s="144"/>
      <c r="S827" s="144"/>
      <c r="T827" s="144"/>
      <c r="U827" s="135"/>
      <c r="V827" s="135"/>
    </row>
    <row r="828" spans="4:22" ht="24.75" customHeight="1">
      <c r="D828" s="142"/>
      <c r="E828" s="136"/>
      <c r="F828" s="15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35"/>
      <c r="R828" s="144"/>
      <c r="S828" s="144"/>
      <c r="T828" s="144"/>
      <c r="U828" s="135"/>
      <c r="V828" s="135"/>
    </row>
    <row r="829" spans="4:22" ht="24.75" customHeight="1">
      <c r="D829" s="142"/>
      <c r="E829" s="136"/>
      <c r="F829" s="15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35"/>
      <c r="R829" s="144"/>
      <c r="S829" s="144"/>
      <c r="T829" s="144"/>
      <c r="U829" s="135"/>
      <c r="V829" s="135"/>
    </row>
    <row r="830" spans="4:22" ht="24.75" customHeight="1">
      <c r="D830" s="142"/>
      <c r="E830" s="136"/>
      <c r="F830" s="15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35"/>
      <c r="R830" s="144"/>
      <c r="S830" s="144"/>
      <c r="T830" s="144"/>
      <c r="U830" s="135"/>
      <c r="V830" s="135"/>
    </row>
    <row r="831" spans="4:22" ht="24.75" customHeight="1">
      <c r="D831" s="142"/>
      <c r="E831" s="136"/>
      <c r="F831" s="15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35"/>
      <c r="R831" s="144"/>
      <c r="S831" s="144"/>
      <c r="T831" s="144"/>
      <c r="U831" s="135"/>
      <c r="V831" s="135"/>
    </row>
    <row r="832" spans="4:22" ht="24.75" customHeight="1">
      <c r="D832" s="142"/>
      <c r="E832" s="136"/>
      <c r="F832" s="15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35"/>
      <c r="R832" s="144"/>
      <c r="S832" s="144"/>
      <c r="T832" s="144"/>
      <c r="U832" s="135"/>
      <c r="V832" s="135"/>
    </row>
    <row r="833" spans="4:22" ht="24.75" customHeight="1">
      <c r="D833" s="142"/>
      <c r="E833" s="136"/>
      <c r="F833" s="15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35"/>
      <c r="R833" s="144"/>
      <c r="S833" s="144"/>
      <c r="T833" s="144"/>
      <c r="U833" s="135"/>
      <c r="V833" s="135"/>
    </row>
    <row r="834" spans="4:22" ht="24.75" customHeight="1">
      <c r="D834" s="142"/>
      <c r="E834" s="136"/>
      <c r="F834" s="15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35"/>
      <c r="R834" s="144"/>
      <c r="S834" s="144"/>
      <c r="T834" s="144"/>
      <c r="U834" s="135"/>
      <c r="V834" s="135"/>
    </row>
    <row r="835" spans="4:22" ht="24.75" customHeight="1">
      <c r="D835" s="142"/>
      <c r="E835" s="136"/>
      <c r="F835" s="15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35"/>
      <c r="R835" s="144"/>
      <c r="S835" s="144"/>
      <c r="T835" s="144"/>
      <c r="U835" s="135"/>
      <c r="V835" s="135"/>
    </row>
    <row r="836" spans="4:22" ht="24.75" customHeight="1">
      <c r="D836" s="142"/>
      <c r="E836" s="136"/>
      <c r="F836" s="15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35"/>
      <c r="R836" s="144"/>
      <c r="S836" s="144"/>
      <c r="T836" s="144"/>
      <c r="U836" s="135"/>
      <c r="V836" s="135"/>
    </row>
    <row r="837" spans="4:22" ht="24.75" customHeight="1">
      <c r="D837" s="142"/>
      <c r="E837" s="136"/>
      <c r="F837" s="15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35"/>
      <c r="R837" s="144"/>
      <c r="S837" s="144"/>
      <c r="T837" s="144"/>
      <c r="U837" s="135"/>
      <c r="V837" s="135"/>
    </row>
    <row r="838" spans="4:22" ht="24.75" customHeight="1">
      <c r="D838" s="142"/>
      <c r="E838" s="136"/>
      <c r="F838" s="15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35"/>
      <c r="R838" s="144"/>
      <c r="S838" s="144"/>
      <c r="T838" s="144"/>
      <c r="U838" s="135"/>
      <c r="V838" s="135"/>
    </row>
    <row r="839" spans="4:22" ht="24.75" customHeight="1">
      <c r="D839" s="142"/>
      <c r="E839" s="136"/>
      <c r="F839" s="15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35"/>
      <c r="R839" s="144"/>
      <c r="S839" s="144"/>
      <c r="T839" s="144"/>
      <c r="U839" s="135"/>
      <c r="V839" s="135"/>
    </row>
    <row r="840" spans="4:22" ht="24.75" customHeight="1">
      <c r="D840" s="142"/>
      <c r="E840" s="136"/>
      <c r="F840" s="15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35"/>
      <c r="R840" s="144"/>
      <c r="S840" s="144"/>
      <c r="T840" s="144"/>
      <c r="U840" s="135"/>
      <c r="V840" s="135"/>
    </row>
    <row r="841" spans="4:22" ht="24.75" customHeight="1">
      <c r="D841" s="142"/>
      <c r="E841" s="136"/>
      <c r="F841" s="15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35"/>
      <c r="R841" s="144"/>
      <c r="S841" s="144"/>
      <c r="T841" s="144"/>
      <c r="U841" s="135"/>
      <c r="V841" s="135"/>
    </row>
    <row r="842" spans="4:22" ht="24.75" customHeight="1">
      <c r="D842" s="142"/>
      <c r="E842" s="136"/>
      <c r="F842" s="15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35"/>
      <c r="R842" s="144"/>
      <c r="S842" s="144"/>
      <c r="T842" s="144"/>
      <c r="U842" s="135"/>
      <c r="V842" s="135"/>
    </row>
    <row r="843" spans="4:22" ht="24.75" customHeight="1">
      <c r="D843" s="142"/>
      <c r="E843" s="136"/>
      <c r="F843" s="15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35"/>
      <c r="R843" s="144"/>
      <c r="S843" s="144"/>
      <c r="T843" s="144"/>
      <c r="U843" s="135"/>
      <c r="V843" s="135"/>
    </row>
    <row r="844" spans="4:22" ht="24.75" customHeight="1">
      <c r="D844" s="142"/>
      <c r="E844" s="136"/>
      <c r="F844" s="15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35"/>
      <c r="R844" s="144"/>
      <c r="S844" s="144"/>
      <c r="T844" s="144"/>
      <c r="U844" s="135"/>
      <c r="V844" s="135"/>
    </row>
    <row r="845" spans="4:22" ht="24.75" customHeight="1">
      <c r="D845" s="142"/>
      <c r="E845" s="136"/>
      <c r="F845" s="15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35"/>
      <c r="R845" s="144"/>
      <c r="S845" s="144"/>
      <c r="T845" s="144"/>
      <c r="U845" s="135"/>
      <c r="V845" s="135"/>
    </row>
    <row r="846" spans="4:22" ht="24.75" customHeight="1">
      <c r="D846" s="142"/>
      <c r="E846" s="136"/>
      <c r="F846" s="15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35"/>
      <c r="R846" s="144"/>
      <c r="S846" s="144"/>
      <c r="T846" s="144"/>
      <c r="U846" s="135"/>
      <c r="V846" s="135"/>
    </row>
    <row r="847" spans="4:22" ht="24.75" customHeight="1">
      <c r="D847" s="142"/>
      <c r="E847" s="136"/>
      <c r="F847" s="15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35"/>
      <c r="R847" s="144"/>
      <c r="S847" s="144"/>
      <c r="T847" s="144"/>
      <c r="U847" s="135"/>
      <c r="V847" s="135"/>
    </row>
    <row r="848" spans="4:22" ht="24.75" customHeight="1">
      <c r="D848" s="142"/>
      <c r="E848" s="136"/>
      <c r="F848" s="15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35"/>
      <c r="R848" s="144"/>
      <c r="S848" s="144"/>
      <c r="T848" s="144"/>
      <c r="U848" s="135"/>
      <c r="V848" s="135"/>
    </row>
    <row r="849" spans="4:22" ht="24.75" customHeight="1">
      <c r="D849" s="142"/>
      <c r="E849" s="136"/>
      <c r="F849" s="15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35"/>
      <c r="R849" s="144"/>
      <c r="S849" s="144"/>
      <c r="T849" s="144"/>
      <c r="U849" s="135"/>
      <c r="V849" s="135"/>
    </row>
    <row r="850" spans="4:22" ht="24.75" customHeight="1">
      <c r="D850" s="142"/>
      <c r="E850" s="136"/>
      <c r="F850" s="15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35"/>
      <c r="R850" s="144"/>
      <c r="S850" s="144"/>
      <c r="T850" s="144"/>
      <c r="U850" s="135"/>
      <c r="V850" s="135"/>
    </row>
    <row r="851" spans="4:22" ht="24.75" customHeight="1">
      <c r="D851" s="142"/>
      <c r="E851" s="136"/>
      <c r="F851" s="15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35"/>
      <c r="R851" s="144"/>
      <c r="S851" s="144"/>
      <c r="T851" s="144"/>
      <c r="U851" s="135"/>
      <c r="V851" s="135"/>
    </row>
    <row r="852" spans="4:22" ht="24.75" customHeight="1">
      <c r="D852" s="142"/>
      <c r="E852" s="136"/>
      <c r="F852" s="15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35"/>
      <c r="R852" s="144"/>
      <c r="S852" s="144"/>
      <c r="T852" s="144"/>
      <c r="U852" s="135"/>
      <c r="V852" s="135"/>
    </row>
    <row r="853" spans="4:22" ht="24.75" customHeight="1">
      <c r="D853" s="142"/>
      <c r="E853" s="136"/>
      <c r="F853" s="15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35"/>
      <c r="R853" s="144"/>
      <c r="S853" s="144"/>
      <c r="T853" s="144"/>
      <c r="U853" s="135"/>
      <c r="V853" s="135"/>
    </row>
    <row r="854" spans="4:22" ht="24.75" customHeight="1">
      <c r="D854" s="142"/>
      <c r="E854" s="136"/>
      <c r="F854" s="15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35"/>
      <c r="R854" s="144"/>
      <c r="S854" s="144"/>
      <c r="T854" s="144"/>
      <c r="U854" s="135"/>
      <c r="V854" s="135"/>
    </row>
    <row r="855" spans="4:22" ht="24.75" customHeight="1">
      <c r="D855" s="142"/>
      <c r="E855" s="136"/>
      <c r="F855" s="15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35"/>
      <c r="R855" s="144"/>
      <c r="S855" s="144"/>
      <c r="T855" s="144"/>
      <c r="U855" s="135"/>
      <c r="V855" s="135"/>
    </row>
    <row r="856" spans="4:22" ht="24.75" customHeight="1">
      <c r="D856" s="142"/>
      <c r="E856" s="136"/>
      <c r="F856" s="15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35"/>
      <c r="R856" s="144"/>
      <c r="S856" s="144"/>
      <c r="T856" s="144"/>
      <c r="U856" s="135"/>
      <c r="V856" s="135"/>
    </row>
    <row r="857" spans="4:22" ht="24.75" customHeight="1">
      <c r="D857" s="142"/>
      <c r="E857" s="136"/>
      <c r="F857" s="15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35"/>
      <c r="R857" s="144"/>
      <c r="S857" s="144"/>
      <c r="T857" s="144"/>
      <c r="U857" s="135"/>
      <c r="V857" s="135"/>
    </row>
    <row r="858" spans="4:22" ht="24.75" customHeight="1">
      <c r="D858" s="142"/>
      <c r="E858" s="136"/>
      <c r="F858" s="15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35"/>
      <c r="R858" s="144"/>
      <c r="S858" s="144"/>
      <c r="T858" s="144"/>
      <c r="U858" s="135"/>
      <c r="V858" s="135"/>
    </row>
    <row r="859" spans="4:22" ht="24.75" customHeight="1">
      <c r="D859" s="142"/>
      <c r="E859" s="136"/>
      <c r="F859" s="15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35"/>
      <c r="R859" s="144"/>
      <c r="S859" s="144"/>
      <c r="T859" s="144"/>
      <c r="U859" s="135"/>
      <c r="V859" s="135"/>
    </row>
    <row r="860" spans="4:22" ht="24.75" customHeight="1">
      <c r="D860" s="142"/>
      <c r="E860" s="136"/>
      <c r="F860" s="15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35"/>
      <c r="R860" s="144"/>
      <c r="S860" s="144"/>
      <c r="T860" s="144"/>
      <c r="U860" s="135"/>
      <c r="V860" s="135"/>
    </row>
    <row r="861" spans="4:22" ht="24.75" customHeight="1">
      <c r="D861" s="142"/>
      <c r="E861" s="136"/>
      <c r="F861" s="15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35"/>
      <c r="R861" s="144"/>
      <c r="S861" s="144"/>
      <c r="T861" s="144"/>
      <c r="U861" s="135"/>
      <c r="V861" s="135"/>
    </row>
    <row r="862" spans="4:22" ht="24.75" customHeight="1">
      <c r="D862" s="142"/>
      <c r="E862" s="136"/>
      <c r="F862" s="15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35"/>
      <c r="R862" s="144"/>
      <c r="S862" s="144"/>
      <c r="T862" s="144"/>
      <c r="U862" s="135"/>
      <c r="V862" s="135"/>
    </row>
    <row r="863" spans="4:22" ht="24.75" customHeight="1">
      <c r="D863" s="142"/>
      <c r="E863" s="136"/>
      <c r="F863" s="15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35"/>
      <c r="R863" s="144"/>
      <c r="S863" s="144"/>
      <c r="T863" s="144"/>
      <c r="U863" s="135"/>
      <c r="V863" s="135"/>
    </row>
  </sheetData>
  <autoFilter ref="A1:X71" xr:uid="{00000000-0009-0000-0000-000000000000}"/>
  <mergeCells count="1">
    <mergeCell ref="Z4:AA4"/>
  </mergeCells>
  <conditionalFormatting sqref="D1:D15 J42:K53 E40:E41 C60:D60 L36:L53 J20:K39 J71:L71 D61:D65 D70:D1048576 D59 D20:D53 D67 J56:L57">
    <cfRule type="expression" priority="16">
      <formula>"private"</formula>
    </cfRule>
  </conditionalFormatting>
  <conditionalFormatting sqref="D18">
    <cfRule type="expression" priority="15">
      <formula>"private"</formula>
    </cfRule>
  </conditionalFormatting>
  <conditionalFormatting sqref="D19">
    <cfRule type="expression" priority="14">
      <formula>"private"</formula>
    </cfRule>
  </conditionalFormatting>
  <conditionalFormatting sqref="J61:L61">
    <cfRule type="expression" priority="12">
      <formula>"private"</formula>
    </cfRule>
  </conditionalFormatting>
  <conditionalFormatting sqref="D56">
    <cfRule type="expression" priority="10">
      <formula>"private"</formula>
    </cfRule>
  </conditionalFormatting>
  <conditionalFormatting sqref="D68">
    <cfRule type="expression" priority="9">
      <formula>"private"</formula>
    </cfRule>
  </conditionalFormatting>
  <conditionalFormatting sqref="D66">
    <cfRule type="expression" priority="8">
      <formula>"private"</formula>
    </cfRule>
  </conditionalFormatting>
  <conditionalFormatting sqref="J54:L55 D54">
    <cfRule type="expression" priority="7">
      <formula>"private"</formula>
    </cfRule>
  </conditionalFormatting>
  <conditionalFormatting sqref="D55">
    <cfRule type="expression" priority="6">
      <formula>"private"</formula>
    </cfRule>
  </conditionalFormatting>
  <conditionalFormatting sqref="D16">
    <cfRule type="expression" priority="5">
      <formula>"private"</formula>
    </cfRule>
  </conditionalFormatting>
  <conditionalFormatting sqref="D69">
    <cfRule type="expression" priority="4">
      <formula>"private"</formula>
    </cfRule>
  </conditionalFormatting>
  <conditionalFormatting sqref="D57">
    <cfRule type="expression" priority="3">
      <formula>"private"</formula>
    </cfRule>
  </conditionalFormatting>
  <conditionalFormatting sqref="D17">
    <cfRule type="expression" priority="2">
      <formula>"private"</formula>
    </cfRule>
  </conditionalFormatting>
  <conditionalFormatting sqref="J58:K58 D58">
    <cfRule type="expression" priority="1">
      <formula>"private"</formula>
    </cfRule>
  </conditionalFormatting>
  <pageMargins left="0.7" right="0.7" top="0.75" bottom="0.75" header="0" footer="0"/>
  <pageSetup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9AF0-C6F5-49CC-9508-E01413C56A03}">
  <dimension ref="A2:Q47"/>
  <sheetViews>
    <sheetView workbookViewId="0">
      <selection activeCell="G50" sqref="G50"/>
    </sheetView>
  </sheetViews>
  <sheetFormatPr defaultRowHeight="12"/>
  <cols>
    <col min="1" max="1" width="9.140625" style="19"/>
    <col min="2" max="2" width="10.28515625" style="19" customWidth="1"/>
    <col min="3" max="3" width="10.5703125" style="19" customWidth="1"/>
    <col min="4" max="4" width="13.5703125" style="19" bestFit="1" customWidth="1"/>
    <col min="5" max="5" width="15.140625" style="19" customWidth="1"/>
    <col min="6" max="6" width="12.42578125" style="19" bestFit="1" customWidth="1"/>
    <col min="7" max="9" width="9.140625" style="19"/>
    <col min="10" max="10" width="13.5703125" style="19" bestFit="1" customWidth="1"/>
    <col min="11" max="11" width="9.140625" style="19"/>
    <col min="12" max="12" width="12.42578125" style="19" customWidth="1"/>
    <col min="13" max="13" width="9.140625" style="19"/>
    <col min="14" max="14" width="12.5703125" style="19" customWidth="1"/>
    <col min="15" max="15" width="11.5703125" style="19" customWidth="1"/>
    <col min="16" max="16" width="14" style="19" customWidth="1"/>
    <col min="17" max="17" width="12.42578125" style="19" bestFit="1" customWidth="1"/>
    <col min="18" max="16384" width="9.140625" style="19"/>
  </cols>
  <sheetData>
    <row r="2" spans="1:16" s="105" customFormat="1">
      <c r="D2" s="222" t="s">
        <v>416</v>
      </c>
      <c r="E2" s="222" t="s">
        <v>417</v>
      </c>
      <c r="F2" s="222" t="s">
        <v>418</v>
      </c>
      <c r="G2" s="222" t="s">
        <v>419</v>
      </c>
      <c r="H2" s="222" t="s">
        <v>420</v>
      </c>
      <c r="I2" s="222" t="s">
        <v>421</v>
      </c>
      <c r="J2" s="222" t="s">
        <v>422</v>
      </c>
      <c r="K2" s="222" t="s">
        <v>423</v>
      </c>
      <c r="L2" s="222" t="s">
        <v>424</v>
      </c>
      <c r="M2" s="222" t="s">
        <v>425</v>
      </c>
      <c r="N2" s="222" t="s">
        <v>426</v>
      </c>
      <c r="O2" s="222" t="s">
        <v>427</v>
      </c>
      <c r="P2" s="222"/>
    </row>
    <row r="3" spans="1:16">
      <c r="A3" s="105" t="s">
        <v>253</v>
      </c>
      <c r="B3" s="19" t="s">
        <v>98</v>
      </c>
      <c r="C3" s="19" t="s">
        <v>430</v>
      </c>
      <c r="D3" s="162">
        <f>'AGENTS SALES 2026'!F18+'AGENTS SALES 2026'!F19</f>
        <v>915000</v>
      </c>
      <c r="P3" s="166">
        <f>SUM(D3:O3)</f>
        <v>915000</v>
      </c>
    </row>
    <row r="4" spans="1:16">
      <c r="A4" s="105"/>
      <c r="C4" s="19" t="s">
        <v>431</v>
      </c>
      <c r="P4" s="155"/>
    </row>
    <row r="5" spans="1:16">
      <c r="A5" s="105"/>
      <c r="B5" s="19" t="s">
        <v>429</v>
      </c>
      <c r="C5" s="19" t="s">
        <v>430</v>
      </c>
      <c r="P5" s="155"/>
    </row>
    <row r="6" spans="1:16">
      <c r="A6" s="105"/>
      <c r="C6" s="19" t="s">
        <v>431</v>
      </c>
      <c r="P6" s="155"/>
    </row>
    <row r="7" spans="1:16">
      <c r="A7" s="105"/>
      <c r="C7" s="20"/>
      <c r="D7" s="169">
        <f>SUM(D3:D6)</f>
        <v>915000</v>
      </c>
      <c r="E7" s="337"/>
      <c r="F7" s="337"/>
      <c r="G7" s="167"/>
      <c r="H7" s="167"/>
      <c r="I7" s="167"/>
      <c r="J7" s="167"/>
      <c r="K7" s="167"/>
      <c r="L7" s="167"/>
      <c r="M7" s="167"/>
      <c r="N7" s="167"/>
      <c r="O7" s="167"/>
      <c r="P7" s="168">
        <f>SUM(D7:O7)</f>
        <v>915000</v>
      </c>
    </row>
    <row r="8" spans="1:16">
      <c r="A8" s="105" t="s">
        <v>160</v>
      </c>
      <c r="B8" s="19" t="s">
        <v>98</v>
      </c>
      <c r="C8" s="19" t="s">
        <v>430</v>
      </c>
      <c r="P8" s="155"/>
    </row>
    <row r="9" spans="1:16">
      <c r="A9" s="105"/>
      <c r="C9" s="19" t="s">
        <v>431</v>
      </c>
      <c r="P9" s="155"/>
    </row>
    <row r="10" spans="1:16">
      <c r="A10" s="105"/>
      <c r="B10" s="19" t="s">
        <v>429</v>
      </c>
      <c r="C10" s="19" t="s">
        <v>430</v>
      </c>
      <c r="P10" s="155"/>
    </row>
    <row r="11" spans="1:16">
      <c r="A11" s="105"/>
      <c r="C11" s="19" t="s">
        <v>431</v>
      </c>
      <c r="P11" s="155"/>
    </row>
    <row r="12" spans="1:16">
      <c r="A12" s="105"/>
      <c r="C12" s="20"/>
      <c r="D12" s="336"/>
      <c r="E12" s="336"/>
      <c r="F12" s="336"/>
      <c r="G12" s="170"/>
      <c r="H12" s="170"/>
      <c r="I12" s="170"/>
      <c r="J12" s="170"/>
      <c r="K12" s="170"/>
      <c r="L12" s="170"/>
      <c r="M12" s="170"/>
      <c r="N12" s="170"/>
      <c r="O12" s="170"/>
      <c r="P12" s="345">
        <f t="shared" ref="P12:P20" si="0">SUM(D12:O12)</f>
        <v>0</v>
      </c>
    </row>
    <row r="13" spans="1:16">
      <c r="A13" s="105" t="s">
        <v>428</v>
      </c>
      <c r="B13" s="19" t="s">
        <v>98</v>
      </c>
      <c r="C13" s="19" t="s">
        <v>430</v>
      </c>
      <c r="D13" s="162">
        <f>'AGENTS SALES 2026'!F70</f>
        <v>1587400</v>
      </c>
      <c r="F13" s="154">
        <f>'AGENTS SALES 2026'!F67+'AGENTS SALES 2026'!F68+'AGENTS SALES 2026'!F66</f>
        <v>1106000</v>
      </c>
      <c r="P13" s="166">
        <f>SUM(D13:O13)</f>
        <v>2693400</v>
      </c>
    </row>
    <row r="14" spans="1:16">
      <c r="A14" s="105"/>
      <c r="C14" s="19" t="s">
        <v>431</v>
      </c>
      <c r="D14" s="154">
        <f>'AGENTS SALES 2026'!F69</f>
        <v>1802890</v>
      </c>
      <c r="P14" s="166">
        <f t="shared" si="0"/>
        <v>1802890</v>
      </c>
    </row>
    <row r="15" spans="1:16">
      <c r="A15" s="105"/>
      <c r="B15" s="19" t="s">
        <v>429</v>
      </c>
      <c r="C15" s="19" t="s">
        <v>430</v>
      </c>
      <c r="D15" s="154"/>
      <c r="P15" s="166">
        <f t="shared" si="0"/>
        <v>0</v>
      </c>
    </row>
    <row r="16" spans="1:16">
      <c r="A16" s="105"/>
      <c r="C16" s="19" t="s">
        <v>431</v>
      </c>
      <c r="P16" s="166">
        <f t="shared" si="0"/>
        <v>0</v>
      </c>
    </row>
    <row r="17" spans="1:17">
      <c r="A17" s="105"/>
      <c r="C17" s="236"/>
      <c r="D17" s="340">
        <f>SUM(D13:D16)</f>
        <v>3390290</v>
      </c>
      <c r="E17" s="341"/>
      <c r="F17" s="342">
        <f>SUM(F13:F16)</f>
        <v>1106000</v>
      </c>
      <c r="G17" s="343"/>
      <c r="H17" s="343"/>
      <c r="I17" s="343"/>
      <c r="J17" s="343"/>
      <c r="K17" s="343"/>
      <c r="L17" s="343"/>
      <c r="M17" s="343"/>
      <c r="N17" s="343"/>
      <c r="O17" s="343"/>
      <c r="P17" s="344">
        <f>SUM(D17:O17)</f>
        <v>4496290</v>
      </c>
    </row>
    <row r="18" spans="1:17">
      <c r="A18" s="105" t="s">
        <v>75</v>
      </c>
      <c r="B18" s="19" t="s">
        <v>98</v>
      </c>
      <c r="C18" s="19" t="s">
        <v>430</v>
      </c>
      <c r="D18" s="154">
        <f>'AGENTS SALES 2026'!F2+'AGENTS SALES 2026'!F3</f>
        <v>124900</v>
      </c>
      <c r="E18" s="154">
        <f>'AGENTS SALES 2026'!F12+'AGENTS SALES 2026'!F13</f>
        <v>420000</v>
      </c>
      <c r="F18" s="154">
        <f>'AGENTS SALES 2026'!F16+'AGENTS SALES 2026'!F17</f>
        <v>1583500</v>
      </c>
      <c r="P18" s="157">
        <f t="shared" si="0"/>
        <v>2128400</v>
      </c>
    </row>
    <row r="19" spans="1:17">
      <c r="A19" s="105"/>
      <c r="C19" s="19" t="s">
        <v>431</v>
      </c>
      <c r="D19" s="154">
        <f>'AGENTS SALES 2026'!F7+'AGENTS SALES 2026'!F8+'AGENTS SALES 2026'!F9+'AGENTS SALES 2026'!F10+'AGENTS SALES 2026'!F11</f>
        <v>5914700</v>
      </c>
      <c r="E19" s="19">
        <v>0</v>
      </c>
      <c r="P19" s="157">
        <f t="shared" si="0"/>
        <v>5914700</v>
      </c>
    </row>
    <row r="20" spans="1:17">
      <c r="A20" s="105"/>
      <c r="B20" s="19" t="s">
        <v>429</v>
      </c>
      <c r="C20" s="19" t="s">
        <v>430</v>
      </c>
      <c r="D20" s="162">
        <f>'AGENTS SALES 2026'!F5+'AGENTS SALES 2026'!F6</f>
        <v>48000</v>
      </c>
      <c r="E20" s="154">
        <f>'AGENTS SALES 2026'!F14+'AGENTS SALES 2026'!F15</f>
        <v>520800</v>
      </c>
      <c r="P20" s="157">
        <f t="shared" si="0"/>
        <v>568800</v>
      </c>
    </row>
    <row r="21" spans="1:17">
      <c r="A21" s="105"/>
      <c r="C21" s="19" t="s">
        <v>431</v>
      </c>
      <c r="D21" s="156"/>
      <c r="E21" s="156"/>
      <c r="P21" s="155"/>
    </row>
    <row r="22" spans="1:17" ht="14.25">
      <c r="A22" s="105"/>
      <c r="C22" s="20"/>
      <c r="D22" s="160">
        <f>SUM(D18:D21)</f>
        <v>6087600</v>
      </c>
      <c r="E22" s="160">
        <f>SUM(E18:E21)</f>
        <v>940800</v>
      </c>
      <c r="F22" s="332">
        <f>SUM(F18:F20)</f>
        <v>1583500</v>
      </c>
      <c r="G22" s="159"/>
      <c r="H22" s="159"/>
      <c r="I22" s="159"/>
      <c r="J22" s="159"/>
      <c r="K22" s="159"/>
      <c r="L22" s="159"/>
      <c r="M22" s="159"/>
      <c r="N22" s="159"/>
      <c r="O22" s="159"/>
      <c r="P22" s="161">
        <f>SUM(D22:O22)</f>
        <v>8611900</v>
      </c>
    </row>
    <row r="23" spans="1:17">
      <c r="A23" s="105" t="s">
        <v>153</v>
      </c>
      <c r="B23" s="19" t="s">
        <v>98</v>
      </c>
      <c r="C23" s="19" t="s">
        <v>430</v>
      </c>
      <c r="P23" s="155"/>
    </row>
    <row r="24" spans="1:17">
      <c r="A24" s="105"/>
      <c r="C24" s="19" t="s">
        <v>431</v>
      </c>
      <c r="D24" s="171">
        <v>149000</v>
      </c>
      <c r="E24" s="154">
        <f>'AGENTS SALES 2026'!F63+'AGENTS SALES 2026'!F64</f>
        <v>22300</v>
      </c>
      <c r="P24" s="172">
        <f>SUM(D24:O24)</f>
        <v>171300</v>
      </c>
    </row>
    <row r="25" spans="1:17">
      <c r="B25" s="19" t="s">
        <v>429</v>
      </c>
      <c r="C25" s="19" t="s">
        <v>430</v>
      </c>
      <c r="D25" s="19">
        <v>0</v>
      </c>
      <c r="P25" s="172">
        <f>SUM(D25:O25)</f>
        <v>0</v>
      </c>
    </row>
    <row r="26" spans="1:17">
      <c r="C26" s="19" t="s">
        <v>431</v>
      </c>
      <c r="D26" s="162">
        <f>'AGENTS SALES 2026'!F61</f>
        <v>22000</v>
      </c>
      <c r="P26" s="172">
        <f>SUM(D26:O26)</f>
        <v>22000</v>
      </c>
    </row>
    <row r="27" spans="1:17">
      <c r="C27" s="20"/>
      <c r="D27" s="346">
        <f>SUM(D24:D26)</f>
        <v>171000</v>
      </c>
      <c r="E27" s="347">
        <f>SUM(E24:E26)</f>
        <v>22300</v>
      </c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9">
        <f>SUM(D27:O27)</f>
        <v>193300</v>
      </c>
    </row>
    <row r="28" spans="1:17">
      <c r="A28" s="105" t="s">
        <v>101</v>
      </c>
      <c r="B28" s="19" t="s">
        <v>98</v>
      </c>
      <c r="C28" s="19" t="s">
        <v>430</v>
      </c>
      <c r="D28" s="154">
        <f>'AGENTS SALES 2026'!F21+'AGENTS SALES 2026'!F23+'AGENTS SALES 2026'!F25+'AGENTS SALES 2026'!F27+'AGENTS SALES 2026'!F28+'AGENTS SALES 2026'!F29+'AGENTS SALES 2026'!F33+'AGENTS SALES 2026'!F35</f>
        <v>1239700</v>
      </c>
      <c r="E28" s="154">
        <f>'AGENTS SALES 2026'!F37+'AGENTS SALES 2026'!F38+'AGENTS SALES 2026'!F40+'AGENTS SALES 2026'!F41+'AGENTS SALES 2026'!F42+'AGENTS SALES 2026'!F43+'AGENTS SALES 2026'!F46+'AGENTS SALES 2026'!F47+'AGENTS SALES 2026'!F48+'AGENTS SALES 2026'!F50+'AGENTS SALES 2026'!F52+'AGENTS SALES 2026'!F53</f>
        <v>1652249.6400000001</v>
      </c>
      <c r="F28" s="154">
        <f>'AGENTS SALES 2026'!F55+'AGENTS SALES 2026'!F56+'AGENTS SALES 2026'!F57+'AGENTS SALES 2026'!F58</f>
        <v>1235991.43</v>
      </c>
      <c r="P28" s="157">
        <f>SUM(D28:O28)</f>
        <v>4127941.0700000003</v>
      </c>
    </row>
    <row r="29" spans="1:17">
      <c r="A29" s="105"/>
      <c r="C29" s="19" t="s">
        <v>431</v>
      </c>
      <c r="P29" s="155"/>
    </row>
    <row r="30" spans="1:17">
      <c r="B30" s="19" t="s">
        <v>429</v>
      </c>
      <c r="C30" s="19" t="s">
        <v>430</v>
      </c>
      <c r="D30" s="154">
        <f>'AGENTS SALES 2026'!F20+'AGENTS SALES 2026'!F22+'AGENTS SALES 2026'!F24+'AGENTS SALES 2026'!F26++'AGENTS SALES 2026'!F30+'AGENTS SALES 2026'!F31+'AGENTS SALES 2026'!F32+'AGENTS SALES 2026'!F34+'AGENTS SALES 2026'!F71</f>
        <v>93000</v>
      </c>
      <c r="E30" s="154">
        <f>'AGENTS SALES 2026'!F36+'AGENTS SALES 2026'!F39+'AGENTS SALES 2026'!F71+'AGENTS SALES 2026'!F44+'AGENTS SALES 2026'!F45+'AGENTS SALES 2026'!F49+'AGENTS SALES 2026'!F51</f>
        <v>160485.71</v>
      </c>
      <c r="F30" s="154">
        <f>'AGENTS SALES 2026'!F54</f>
        <v>8500</v>
      </c>
      <c r="P30" s="157">
        <f>SUM(D30:O30)</f>
        <v>261985.71</v>
      </c>
    </row>
    <row r="31" spans="1:17">
      <c r="C31" s="19" t="s">
        <v>431</v>
      </c>
      <c r="P31" s="155"/>
    </row>
    <row r="32" spans="1:17" ht="14.25">
      <c r="D32" s="333">
        <f>SUM(D28:D31)</f>
        <v>1332700</v>
      </c>
      <c r="E32" s="333">
        <f>SUM(E28:E31)</f>
        <v>1812735.35</v>
      </c>
      <c r="F32" s="334">
        <f>SUM(F28:F30)</f>
        <v>1244491.43</v>
      </c>
      <c r="G32" s="165"/>
      <c r="H32" s="165"/>
      <c r="I32" s="165"/>
      <c r="J32" s="165"/>
      <c r="K32" s="165"/>
      <c r="L32" s="165"/>
      <c r="M32" s="165"/>
      <c r="N32" s="165"/>
      <c r="O32" s="165"/>
      <c r="P32" s="164">
        <f>SUM(D32:O32)</f>
        <v>4389926.78</v>
      </c>
      <c r="Q32" s="154"/>
    </row>
    <row r="33" spans="1:17" ht="14.25">
      <c r="D33" s="360"/>
      <c r="E33" s="360"/>
      <c r="F33" s="361"/>
      <c r="G33" s="362"/>
      <c r="H33" s="362"/>
      <c r="I33" s="362"/>
      <c r="J33" s="362"/>
      <c r="K33" s="362"/>
      <c r="L33" s="362"/>
      <c r="M33" s="362"/>
      <c r="N33" s="362"/>
      <c r="O33" s="362"/>
      <c r="P33" s="363"/>
      <c r="Q33" s="154"/>
    </row>
    <row r="34" spans="1:17" ht="14.25">
      <c r="A34" s="105" t="s">
        <v>183</v>
      </c>
      <c r="B34" s="19" t="s">
        <v>98</v>
      </c>
      <c r="C34" s="19" t="s">
        <v>430</v>
      </c>
      <c r="D34" s="360"/>
      <c r="E34" s="360"/>
      <c r="F34" s="361"/>
      <c r="G34" s="362"/>
      <c r="H34" s="362"/>
      <c r="I34" s="362"/>
      <c r="J34" s="362"/>
      <c r="K34" s="362"/>
      <c r="L34" s="362"/>
      <c r="M34" s="362"/>
      <c r="N34" s="362"/>
      <c r="O34" s="362"/>
      <c r="P34" s="363"/>
      <c r="Q34" s="154"/>
    </row>
    <row r="35" spans="1:17" ht="14.25">
      <c r="A35" s="105"/>
      <c r="C35" s="19" t="s">
        <v>431</v>
      </c>
      <c r="D35" s="360"/>
      <c r="E35" s="360"/>
      <c r="F35" s="361"/>
      <c r="G35" s="362"/>
      <c r="H35" s="362"/>
      <c r="I35" s="362"/>
      <c r="J35" s="362"/>
      <c r="K35" s="362"/>
      <c r="L35" s="362"/>
      <c r="M35" s="362"/>
      <c r="N35" s="362"/>
      <c r="O35" s="362"/>
      <c r="P35" s="363"/>
      <c r="Q35" s="154"/>
    </row>
    <row r="36" spans="1:17" ht="14.25">
      <c r="B36" s="19" t="s">
        <v>429</v>
      </c>
      <c r="C36" s="19" t="s">
        <v>430</v>
      </c>
      <c r="D36" s="360"/>
      <c r="E36" s="360"/>
      <c r="F36" s="361"/>
      <c r="G36" s="362"/>
      <c r="H36" s="362"/>
      <c r="I36" s="362"/>
      <c r="J36" s="362"/>
      <c r="K36" s="362"/>
      <c r="L36" s="362"/>
      <c r="M36" s="362"/>
      <c r="N36" s="362"/>
      <c r="O36" s="362"/>
      <c r="P36" s="363"/>
      <c r="Q36" s="154"/>
    </row>
    <row r="37" spans="1:17" ht="14.25">
      <c r="C37" s="19" t="s">
        <v>431</v>
      </c>
      <c r="D37" s="360"/>
      <c r="E37" s="360"/>
      <c r="F37" s="361"/>
      <c r="G37" s="362"/>
      <c r="H37" s="362"/>
      <c r="I37" s="362"/>
      <c r="J37" s="362"/>
      <c r="K37" s="362"/>
      <c r="L37" s="362"/>
      <c r="M37" s="362"/>
      <c r="N37" s="362"/>
      <c r="O37" s="362"/>
      <c r="P37" s="363"/>
      <c r="Q37" s="154"/>
    </row>
    <row r="38" spans="1:17" ht="14.25">
      <c r="D38" s="360"/>
      <c r="E38" s="360"/>
      <c r="F38" s="361"/>
      <c r="G38" s="362"/>
      <c r="H38" s="362"/>
      <c r="I38" s="362"/>
      <c r="J38" s="362"/>
      <c r="K38" s="362"/>
      <c r="L38" s="362"/>
      <c r="M38" s="362"/>
      <c r="N38" s="362"/>
      <c r="O38" s="362"/>
      <c r="P38" s="363"/>
      <c r="Q38" s="154"/>
    </row>
    <row r="39" spans="1:17" s="20" customFormat="1">
      <c r="A39" s="105" t="s">
        <v>173</v>
      </c>
      <c r="B39" s="19" t="s">
        <v>98</v>
      </c>
      <c r="C39" s="19" t="s">
        <v>430</v>
      </c>
      <c r="D39" s="154">
        <f>'AGENTS SALES 2026'!F60</f>
        <v>232000</v>
      </c>
      <c r="E39" s="154"/>
      <c r="F39" s="177">
        <f>'AGENTS SALES 2026'!F59</f>
        <v>89000</v>
      </c>
      <c r="P39" s="177">
        <f>SUM(D39:O39)</f>
        <v>321000</v>
      </c>
      <c r="Q39" s="177"/>
    </row>
    <row r="40" spans="1:17" s="20" customFormat="1">
      <c r="A40" s="105"/>
      <c r="B40" s="19"/>
      <c r="C40" s="19" t="s">
        <v>431</v>
      </c>
      <c r="D40" s="19"/>
      <c r="E40" s="19"/>
      <c r="P40" s="177"/>
      <c r="Q40" s="177"/>
    </row>
    <row r="41" spans="1:17" s="20" customFormat="1">
      <c r="A41" s="19"/>
      <c r="B41" s="19" t="s">
        <v>429</v>
      </c>
      <c r="C41" s="19" t="s">
        <v>430</v>
      </c>
      <c r="D41" s="154"/>
      <c r="E41" s="154"/>
      <c r="P41" s="177"/>
      <c r="Q41" s="177"/>
    </row>
    <row r="42" spans="1:17">
      <c r="C42" s="19" t="s">
        <v>431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spans="1:17" ht="14.25">
      <c r="D43" s="335">
        <f>SUM(D39:D42)</f>
        <v>232000</v>
      </c>
      <c r="E43" s="335"/>
      <c r="F43" s="335">
        <f>SUM(F39:F42)</f>
        <v>89000</v>
      </c>
      <c r="G43" s="170"/>
      <c r="H43" s="170"/>
      <c r="I43" s="170"/>
      <c r="J43" s="170"/>
      <c r="K43" s="170"/>
      <c r="L43" s="170"/>
      <c r="M43" s="170"/>
      <c r="N43" s="170"/>
      <c r="O43" s="170"/>
      <c r="P43" s="180">
        <f>SUM(D43:O43)</f>
        <v>321000</v>
      </c>
    </row>
    <row r="45" spans="1:17">
      <c r="D45" s="338">
        <f>D7+D17+D22+D27+D32+D43</f>
        <v>12128590</v>
      </c>
      <c r="E45" s="338">
        <f>E22+E27+E32</f>
        <v>2775835.35</v>
      </c>
      <c r="F45" s="338">
        <f>F7+F12+F17+F22+F27+F32+F43</f>
        <v>4022991.4299999997</v>
      </c>
    </row>
    <row r="47" spans="1:17" ht="14.25">
      <c r="F47" s="176" t="s">
        <v>435</v>
      </c>
      <c r="J47" s="350">
        <f>P7+P12+P17+P22+P27+P32+P43</f>
        <v>18927416.780000001</v>
      </c>
    </row>
  </sheetData>
  <phoneticPr fontId="26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E0B3"/>
  </sheetPr>
  <dimension ref="A4:Q833"/>
  <sheetViews>
    <sheetView topLeftCell="A37" zoomScaleNormal="100" workbookViewId="0">
      <selection activeCell="C45" sqref="C45"/>
    </sheetView>
  </sheetViews>
  <sheetFormatPr defaultColWidth="14.42578125" defaultRowHeight="15" customHeight="1"/>
  <cols>
    <col min="1" max="1" width="8.7109375" customWidth="1"/>
    <col min="2" max="2" width="19.7109375" customWidth="1"/>
    <col min="3" max="3" width="25.85546875" style="104" customWidth="1"/>
    <col min="4" max="4" width="18.140625" customWidth="1"/>
    <col min="5" max="5" width="15" customWidth="1"/>
    <col min="6" max="6" width="12.7109375" customWidth="1"/>
    <col min="7" max="7" width="8.7109375" customWidth="1"/>
    <col min="8" max="8" width="24.140625" customWidth="1"/>
    <col min="9" max="9" width="11.42578125" customWidth="1"/>
    <col min="10" max="10" width="27.42578125" customWidth="1"/>
    <col min="11" max="11" width="23.85546875" customWidth="1"/>
    <col min="12" max="12" width="17.28515625" customWidth="1"/>
    <col min="13" max="14" width="8.7109375" customWidth="1"/>
    <col min="15" max="15" width="24.42578125" customWidth="1"/>
    <col min="16" max="16" width="10.140625" customWidth="1"/>
    <col min="17" max="26" width="8.7109375" customWidth="1"/>
  </cols>
  <sheetData>
    <row r="4" spans="2:17" ht="15.75" thickBot="1"/>
    <row r="5" spans="2:17" s="183" customFormat="1" ht="24.75" customHeight="1" thickBot="1">
      <c r="B5" s="524" t="s">
        <v>2</v>
      </c>
      <c r="C5" s="525"/>
      <c r="D5" s="525"/>
      <c r="E5" s="525"/>
      <c r="F5" s="525"/>
      <c r="G5" s="525"/>
      <c r="H5" s="526"/>
      <c r="I5" s="484" t="s">
        <v>2</v>
      </c>
      <c r="J5" s="512"/>
      <c r="K5" s="512"/>
      <c r="L5" s="513"/>
      <c r="M5" s="514" t="s">
        <v>1</v>
      </c>
      <c r="N5" s="515"/>
      <c r="O5" s="515"/>
      <c r="P5" s="515"/>
      <c r="Q5" s="516"/>
    </row>
    <row r="6" spans="2:17" s="183" customFormat="1" ht="24.75" customHeight="1" thickBot="1">
      <c r="B6" s="502" t="s">
        <v>450</v>
      </c>
      <c r="C6" s="503"/>
      <c r="D6" s="504" t="s">
        <v>457</v>
      </c>
      <c r="E6" s="505"/>
      <c r="F6" s="506" t="s">
        <v>449</v>
      </c>
      <c r="G6" s="507"/>
      <c r="H6" s="507"/>
      <c r="I6" s="291"/>
      <c r="J6" s="292"/>
      <c r="K6" s="292"/>
      <c r="L6" s="293"/>
      <c r="M6" s="290"/>
      <c r="N6" s="209"/>
      <c r="O6" s="209"/>
      <c r="P6" s="209"/>
      <c r="Q6" s="208"/>
    </row>
    <row r="7" spans="2:17" ht="22.5" customHeight="1" thickBot="1">
      <c r="B7" s="509" t="s">
        <v>532</v>
      </c>
      <c r="C7" s="509"/>
      <c r="D7" s="436" t="s">
        <v>534</v>
      </c>
      <c r="E7" s="436"/>
      <c r="F7" s="508" t="s">
        <v>533</v>
      </c>
      <c r="G7" s="508"/>
      <c r="H7" s="508"/>
      <c r="I7" s="291"/>
      <c r="J7" s="292"/>
      <c r="K7" s="292"/>
      <c r="L7" s="293"/>
      <c r="M7" s="289" t="s">
        <v>554</v>
      </c>
      <c r="N7" s="288"/>
      <c r="O7" s="288"/>
      <c r="P7" s="288"/>
      <c r="Q7" s="288"/>
    </row>
    <row r="8" spans="2:17" s="183" customFormat="1" ht="30" customHeight="1" thickBot="1">
      <c r="B8" s="444" t="s">
        <v>535</v>
      </c>
      <c r="C8" s="444"/>
      <c r="D8" s="439" t="s">
        <v>552</v>
      </c>
      <c r="E8" s="439"/>
      <c r="F8" s="433" t="s">
        <v>536</v>
      </c>
      <c r="G8" s="433"/>
      <c r="H8" s="433"/>
      <c r="I8" s="291"/>
      <c r="J8" s="292"/>
      <c r="K8" s="292"/>
      <c r="L8" s="293"/>
      <c r="M8" s="288"/>
      <c r="N8" s="288"/>
      <c r="O8" s="288"/>
      <c r="P8" s="288"/>
      <c r="Q8" s="288"/>
    </row>
    <row r="9" spans="2:17" s="183" customFormat="1" ht="28.5" customHeight="1" thickBot="1">
      <c r="B9" s="445" t="s">
        <v>537</v>
      </c>
      <c r="C9" s="445"/>
      <c r="D9" s="436" t="s">
        <v>539</v>
      </c>
      <c r="E9" s="436"/>
      <c r="F9" s="434" t="s">
        <v>538</v>
      </c>
      <c r="G9" s="434"/>
      <c r="H9" s="434"/>
      <c r="I9" s="291"/>
      <c r="J9" s="292"/>
      <c r="K9" s="292"/>
      <c r="L9" s="293"/>
      <c r="M9" s="288"/>
      <c r="N9" s="288"/>
      <c r="O9" s="288"/>
      <c r="P9" s="288"/>
      <c r="Q9" s="288"/>
    </row>
    <row r="10" spans="2:17" s="183" customFormat="1" ht="99.75" customHeight="1" thickBot="1">
      <c r="B10" s="436" t="s">
        <v>540</v>
      </c>
      <c r="C10" s="436"/>
      <c r="D10" s="446" t="s">
        <v>553</v>
      </c>
      <c r="E10" s="446"/>
      <c r="F10" s="435" t="s">
        <v>541</v>
      </c>
      <c r="G10" s="435"/>
      <c r="H10" s="435"/>
      <c r="I10" s="291"/>
      <c r="J10" s="292"/>
      <c r="K10" s="292"/>
      <c r="L10" s="293"/>
      <c r="M10" s="288"/>
      <c r="N10" s="288"/>
      <c r="O10" s="288"/>
      <c r="P10" s="288"/>
      <c r="Q10" s="288"/>
    </row>
    <row r="11" spans="2:17" s="183" customFormat="1" ht="15" customHeight="1" thickBot="1">
      <c r="B11" s="527" t="s">
        <v>542</v>
      </c>
      <c r="C11" s="528"/>
      <c r="D11" s="440" t="s">
        <v>551</v>
      </c>
      <c r="E11" s="441"/>
      <c r="F11" s="529"/>
      <c r="G11" s="530"/>
      <c r="H11" s="531"/>
      <c r="I11" s="291"/>
      <c r="J11" s="292"/>
      <c r="K11" s="292"/>
      <c r="L11" s="293"/>
      <c r="M11" s="288"/>
      <c r="N11" s="288"/>
      <c r="O11" s="288"/>
      <c r="P11" s="288"/>
      <c r="Q11" s="288"/>
    </row>
    <row r="12" spans="2:17" s="183" customFormat="1" ht="15" customHeight="1" thickBot="1">
      <c r="B12" s="532" t="s">
        <v>543</v>
      </c>
      <c r="C12" s="533"/>
      <c r="D12" s="442" t="s">
        <v>548</v>
      </c>
      <c r="E12" s="443"/>
      <c r="F12" s="529"/>
      <c r="G12" s="530"/>
      <c r="H12" s="531"/>
      <c r="I12" s="291"/>
      <c r="J12" s="292"/>
      <c r="K12" s="292"/>
      <c r="L12" s="293"/>
      <c r="M12" s="288"/>
      <c r="N12" s="288"/>
      <c r="O12" s="288"/>
      <c r="P12" s="288"/>
      <c r="Q12" s="288"/>
    </row>
    <row r="13" spans="2:17" s="183" customFormat="1" ht="42.75" customHeight="1" thickBot="1">
      <c r="B13" s="456" t="s">
        <v>544</v>
      </c>
      <c r="C13" s="457"/>
      <c r="D13" s="437" t="s">
        <v>549</v>
      </c>
      <c r="E13" s="438"/>
      <c r="F13" s="458" t="s">
        <v>550</v>
      </c>
      <c r="G13" s="459"/>
      <c r="H13" s="460"/>
      <c r="I13" s="291"/>
      <c r="J13" s="292"/>
      <c r="K13" s="292"/>
      <c r="L13" s="293"/>
      <c r="M13" s="288"/>
      <c r="N13" s="288"/>
      <c r="O13" s="288"/>
      <c r="P13" s="288"/>
      <c r="Q13" s="288"/>
    </row>
    <row r="14" spans="2:17" s="183" customFormat="1" ht="29.25" customHeight="1" thickBot="1">
      <c r="B14" s="454" t="s">
        <v>545</v>
      </c>
      <c r="C14" s="455"/>
      <c r="D14" s="452" t="s">
        <v>546</v>
      </c>
      <c r="E14" s="453"/>
      <c r="F14" s="521" t="s">
        <v>547</v>
      </c>
      <c r="G14" s="522"/>
      <c r="H14" s="523"/>
      <c r="I14" s="291"/>
      <c r="J14" s="292"/>
      <c r="K14" s="292"/>
      <c r="L14" s="293"/>
      <c r="M14" s="288"/>
      <c r="N14" s="288"/>
      <c r="O14" s="288"/>
      <c r="P14" s="288"/>
      <c r="Q14" s="288"/>
    </row>
    <row r="15" spans="2:17" s="183" customFormat="1" ht="15" customHeight="1" thickBot="1">
      <c r="C15" s="104"/>
    </row>
    <row r="16" spans="2:17" ht="15.75" thickBot="1">
      <c r="B16" s="484" t="s">
        <v>470</v>
      </c>
      <c r="C16" s="485"/>
      <c r="D16" s="485"/>
      <c r="E16" s="485"/>
      <c r="F16" s="485"/>
      <c r="G16" s="485"/>
      <c r="H16" s="486"/>
      <c r="I16" s="482" t="s">
        <v>2</v>
      </c>
      <c r="J16" s="483"/>
      <c r="K16" s="483"/>
      <c r="L16" s="483"/>
      <c r="M16" s="514" t="s">
        <v>1</v>
      </c>
      <c r="N16" s="515"/>
      <c r="O16" s="515"/>
      <c r="P16" s="515"/>
      <c r="Q16" s="516"/>
    </row>
    <row r="17" spans="1:17" ht="24.75" customHeight="1" thickBot="1">
      <c r="B17" s="487" t="s">
        <v>450</v>
      </c>
      <c r="C17" s="488"/>
      <c r="D17" s="519" t="s">
        <v>457</v>
      </c>
      <c r="E17" s="520"/>
      <c r="F17" s="517" t="s">
        <v>449</v>
      </c>
      <c r="G17" s="518"/>
      <c r="H17" s="518"/>
      <c r="I17" s="199"/>
      <c r="J17" s="200"/>
      <c r="K17" s="200"/>
      <c r="L17" s="200"/>
      <c r="M17" s="199"/>
      <c r="N17" s="200"/>
      <c r="O17" s="200"/>
      <c r="P17" s="201"/>
      <c r="Q17" s="202"/>
    </row>
    <row r="18" spans="1:17" s="183" customFormat="1" ht="48.75" customHeight="1">
      <c r="A18" s="237" t="s">
        <v>485</v>
      </c>
      <c r="B18" s="500" t="s">
        <v>460</v>
      </c>
      <c r="C18" s="501"/>
      <c r="D18" s="542" t="s">
        <v>478</v>
      </c>
      <c r="E18" s="543"/>
      <c r="F18" s="465"/>
      <c r="G18" s="465"/>
      <c r="H18" s="465"/>
      <c r="I18" s="447" t="s">
        <v>461</v>
      </c>
      <c r="J18" s="448"/>
      <c r="K18" s="448"/>
      <c r="L18" s="449"/>
      <c r="M18" s="186"/>
      <c r="N18" s="187"/>
      <c r="O18" s="187"/>
      <c r="P18" s="203"/>
      <c r="Q18" s="188"/>
    </row>
    <row r="19" spans="1:17" s="183" customFormat="1" ht="24.75" customHeight="1">
      <c r="A19" s="238" t="s">
        <v>503</v>
      </c>
      <c r="B19" s="498" t="s">
        <v>462</v>
      </c>
      <c r="C19" s="499"/>
      <c r="D19" s="544" t="s">
        <v>479</v>
      </c>
      <c r="E19" s="545"/>
      <c r="F19" s="466"/>
      <c r="G19" s="466"/>
      <c r="H19" s="466"/>
      <c r="I19" s="447" t="s">
        <v>461</v>
      </c>
      <c r="J19" s="448"/>
      <c r="K19" s="448"/>
      <c r="L19" s="449"/>
      <c r="M19" s="186"/>
      <c r="N19" s="187"/>
      <c r="O19" s="187"/>
      <c r="P19" s="203"/>
      <c r="Q19" s="188"/>
    </row>
    <row r="20" spans="1:17" s="183" customFormat="1" ht="24.75" customHeight="1">
      <c r="A20" s="238" t="s">
        <v>503</v>
      </c>
      <c r="B20" s="498" t="s">
        <v>463</v>
      </c>
      <c r="C20" s="499"/>
      <c r="D20" s="544" t="s">
        <v>480</v>
      </c>
      <c r="E20" s="545"/>
      <c r="F20" s="467"/>
      <c r="G20" s="467"/>
      <c r="H20" s="467"/>
      <c r="I20" s="447" t="s">
        <v>461</v>
      </c>
      <c r="J20" s="448"/>
      <c r="K20" s="448"/>
      <c r="L20" s="449"/>
      <c r="M20" s="186"/>
      <c r="N20" s="187"/>
      <c r="O20" s="187"/>
      <c r="P20" s="203"/>
      <c r="Q20" s="188"/>
    </row>
    <row r="21" spans="1:17" s="183" customFormat="1" ht="24.75" customHeight="1">
      <c r="A21" s="238" t="s">
        <v>503</v>
      </c>
      <c r="B21" s="498" t="s">
        <v>464</v>
      </c>
      <c r="C21" s="499"/>
      <c r="D21" s="546"/>
      <c r="E21" s="545"/>
      <c r="F21" s="468"/>
      <c r="G21" s="468"/>
      <c r="H21" s="468"/>
      <c r="I21" s="447" t="s">
        <v>461</v>
      </c>
      <c r="J21" s="448"/>
      <c r="K21" s="448"/>
      <c r="L21" s="449"/>
      <c r="M21" s="186"/>
      <c r="N21" s="187"/>
      <c r="O21" s="187"/>
      <c r="P21" s="203"/>
      <c r="Q21" s="188"/>
    </row>
    <row r="22" spans="1:17" s="183" customFormat="1" ht="24.75" customHeight="1">
      <c r="A22" s="238" t="s">
        <v>503</v>
      </c>
      <c r="B22" s="498" t="s">
        <v>465</v>
      </c>
      <c r="C22" s="499"/>
      <c r="D22" s="510" t="s">
        <v>481</v>
      </c>
      <c r="E22" s="511"/>
      <c r="F22" s="469"/>
      <c r="G22" s="469"/>
      <c r="H22" s="469"/>
      <c r="I22" s="447" t="s">
        <v>469</v>
      </c>
      <c r="J22" s="448"/>
      <c r="K22" s="448"/>
      <c r="L22" s="449"/>
      <c r="M22" s="186"/>
      <c r="N22" s="187"/>
      <c r="O22" s="187"/>
      <c r="P22" s="203"/>
      <c r="Q22" s="188"/>
    </row>
    <row r="23" spans="1:17" s="183" customFormat="1" ht="24.75" customHeight="1">
      <c r="A23" s="238" t="s">
        <v>503</v>
      </c>
      <c r="B23" s="498" t="s">
        <v>466</v>
      </c>
      <c r="C23" s="499"/>
      <c r="D23" s="541"/>
      <c r="E23" s="511"/>
      <c r="F23" s="470"/>
      <c r="G23" s="470"/>
      <c r="H23" s="470"/>
      <c r="I23" s="447" t="s">
        <v>469</v>
      </c>
      <c r="J23" s="448"/>
      <c r="K23" s="448"/>
      <c r="L23" s="449"/>
      <c r="M23" s="186"/>
      <c r="N23" s="187"/>
      <c r="O23" s="187"/>
      <c r="P23" s="203"/>
      <c r="Q23" s="188"/>
    </row>
    <row r="24" spans="1:17" s="183" customFormat="1" ht="24.75" customHeight="1">
      <c r="A24" s="215" t="s">
        <v>484</v>
      </c>
      <c r="B24" s="498" t="s">
        <v>467</v>
      </c>
      <c r="C24" s="499"/>
      <c r="D24" s="510" t="s">
        <v>482</v>
      </c>
      <c r="E24" s="511"/>
      <c r="F24" s="471"/>
      <c r="G24" s="471"/>
      <c r="H24" s="471"/>
      <c r="I24" s="447" t="s">
        <v>469</v>
      </c>
      <c r="J24" s="448"/>
      <c r="K24" s="448"/>
      <c r="L24" s="449"/>
      <c r="M24" s="186"/>
      <c r="N24" s="187"/>
      <c r="O24" s="187"/>
      <c r="P24" s="203"/>
      <c r="Q24" s="188"/>
    </row>
    <row r="25" spans="1:17" s="183" customFormat="1" ht="24.75" customHeight="1" thickBot="1">
      <c r="A25" s="215" t="s">
        <v>484</v>
      </c>
      <c r="B25" s="498" t="s">
        <v>468</v>
      </c>
      <c r="C25" s="499"/>
      <c r="D25" s="510" t="s">
        <v>483</v>
      </c>
      <c r="E25" s="511"/>
      <c r="F25" s="472"/>
      <c r="G25" s="472"/>
      <c r="H25" s="472"/>
      <c r="I25" s="204"/>
      <c r="J25" s="205"/>
      <c r="K25" s="205"/>
      <c r="L25" s="212"/>
      <c r="M25" s="211"/>
      <c r="N25" s="205"/>
      <c r="O25" s="205"/>
      <c r="P25" s="206"/>
      <c r="Q25" s="207"/>
    </row>
    <row r="26" spans="1:17" s="183" customFormat="1" ht="15.75" thickBot="1">
      <c r="B26" s="484" t="s">
        <v>248</v>
      </c>
      <c r="C26" s="485"/>
      <c r="D26" s="539"/>
      <c r="E26" s="539"/>
      <c r="F26" s="485"/>
      <c r="G26" s="485"/>
      <c r="H26" s="486"/>
      <c r="I26" s="476" t="s">
        <v>2</v>
      </c>
      <c r="J26" s="449"/>
      <c r="K26" s="449"/>
      <c r="L26" s="540"/>
      <c r="M26" s="476" t="s">
        <v>1</v>
      </c>
      <c r="N26" s="449"/>
      <c r="O26" s="449"/>
      <c r="P26" s="449"/>
      <c r="Q26" s="477"/>
    </row>
    <row r="27" spans="1:17" s="183" customFormat="1" ht="24.75" customHeight="1">
      <c r="A27" s="238" t="s">
        <v>503</v>
      </c>
      <c r="B27" s="500" t="s">
        <v>446</v>
      </c>
      <c r="C27" s="501"/>
      <c r="D27" s="504"/>
      <c r="E27" s="505"/>
      <c r="F27" s="480"/>
      <c r="G27" s="481"/>
      <c r="H27" s="481"/>
      <c r="I27" s="214" t="s">
        <v>486</v>
      </c>
      <c r="J27" s="200"/>
      <c r="K27" s="200"/>
      <c r="L27" s="209"/>
      <c r="M27" s="199"/>
      <c r="N27" s="200"/>
      <c r="O27" s="200"/>
      <c r="P27" s="201"/>
      <c r="Q27" s="202"/>
    </row>
    <row r="28" spans="1:17" ht="26.25" customHeight="1">
      <c r="A28" s="238" t="s">
        <v>503</v>
      </c>
      <c r="B28" s="191" t="s">
        <v>451</v>
      </c>
      <c r="C28" s="185"/>
      <c r="D28" s="461" t="s">
        <v>477</v>
      </c>
      <c r="E28" s="462"/>
      <c r="F28" s="475"/>
      <c r="G28" s="470"/>
      <c r="H28" s="470"/>
      <c r="I28" s="191" t="s">
        <v>445</v>
      </c>
      <c r="J28" s="189"/>
      <c r="K28" s="189"/>
      <c r="L28" s="190"/>
      <c r="M28" s="186"/>
      <c r="N28" s="187"/>
      <c r="O28" s="187"/>
      <c r="P28" s="187"/>
      <c r="Q28" s="188"/>
    </row>
    <row r="29" spans="1:17" ht="16.5" customHeight="1">
      <c r="A29" s="238" t="s">
        <v>503</v>
      </c>
      <c r="B29" s="192" t="s">
        <v>452</v>
      </c>
      <c r="C29" s="184"/>
      <c r="D29" s="463" t="s">
        <v>476</v>
      </c>
      <c r="E29" s="464"/>
      <c r="F29" s="478"/>
      <c r="G29" s="479"/>
      <c r="H29" s="479"/>
      <c r="I29" s="191" t="s">
        <v>487</v>
      </c>
      <c r="J29" s="190"/>
      <c r="K29" s="190"/>
      <c r="L29" s="190"/>
      <c r="M29" s="210"/>
      <c r="N29" s="187"/>
      <c r="O29" s="187"/>
      <c r="P29" s="187"/>
      <c r="Q29" s="188"/>
    </row>
    <row r="30" spans="1:17" ht="15.75" customHeight="1">
      <c r="A30" s="238" t="s">
        <v>503</v>
      </c>
      <c r="B30" s="192" t="s">
        <v>453</v>
      </c>
      <c r="C30" s="184"/>
      <c r="D30" s="492" t="s">
        <v>454</v>
      </c>
      <c r="E30" s="493"/>
      <c r="F30" s="489"/>
      <c r="G30" s="471"/>
      <c r="H30" s="471"/>
      <c r="I30" s="193"/>
      <c r="J30" s="190"/>
      <c r="K30" s="190"/>
      <c r="L30" s="190"/>
      <c r="M30" s="210"/>
      <c r="N30" s="187"/>
      <c r="O30" s="187"/>
      <c r="P30" s="187"/>
      <c r="Q30" s="188"/>
    </row>
    <row r="31" spans="1:17" ht="27.75" customHeight="1">
      <c r="A31" s="238" t="s">
        <v>503</v>
      </c>
      <c r="B31" s="191" t="s">
        <v>455</v>
      </c>
      <c r="C31" s="185"/>
      <c r="D31" s="494" t="s">
        <v>475</v>
      </c>
      <c r="E31" s="495"/>
      <c r="F31" s="473"/>
      <c r="G31" s="472"/>
      <c r="H31" s="472"/>
      <c r="I31" s="450" t="s">
        <v>459</v>
      </c>
      <c r="J31" s="451"/>
      <c r="K31" s="451"/>
      <c r="L31" s="451"/>
      <c r="M31" s="186"/>
      <c r="N31" s="187"/>
      <c r="O31" s="187"/>
      <c r="P31" s="187"/>
      <c r="Q31" s="188"/>
    </row>
    <row r="32" spans="1:17" ht="27.75" customHeight="1">
      <c r="A32" s="238" t="s">
        <v>503</v>
      </c>
      <c r="B32" s="490" t="s">
        <v>447</v>
      </c>
      <c r="C32" s="491"/>
      <c r="D32" s="496" t="s">
        <v>458</v>
      </c>
      <c r="E32" s="497"/>
      <c r="F32" s="474" t="s">
        <v>448</v>
      </c>
      <c r="G32" s="469"/>
      <c r="H32" s="469"/>
      <c r="I32" s="447" t="s">
        <v>456</v>
      </c>
      <c r="J32" s="448"/>
      <c r="K32" s="448"/>
      <c r="L32" s="449"/>
      <c r="M32" s="186"/>
      <c r="N32" s="187"/>
      <c r="O32" s="187"/>
      <c r="P32" s="187"/>
      <c r="Q32" s="188"/>
    </row>
    <row r="33" spans="1:17" ht="24" customHeight="1">
      <c r="A33" s="238" t="s">
        <v>503</v>
      </c>
      <c r="B33" s="191" t="s">
        <v>471</v>
      </c>
      <c r="C33" s="213"/>
      <c r="D33" s="534" t="s">
        <v>472</v>
      </c>
      <c r="E33" s="535"/>
      <c r="F33" s="536" t="s">
        <v>473</v>
      </c>
      <c r="G33" s="537"/>
      <c r="H33" s="538"/>
      <c r="I33" s="192" t="s">
        <v>474</v>
      </c>
      <c r="J33" s="190"/>
      <c r="K33" s="190"/>
      <c r="L33" s="190"/>
      <c r="M33" s="186"/>
      <c r="N33" s="187"/>
      <c r="O33" s="187"/>
      <c r="P33" s="187"/>
      <c r="Q33" s="188"/>
    </row>
    <row r="34" spans="1:17" ht="15.75" customHeight="1">
      <c r="B34" s="193"/>
      <c r="C34" s="184"/>
      <c r="D34" s="193"/>
      <c r="E34" s="196"/>
      <c r="F34" s="193"/>
      <c r="G34" s="190"/>
      <c r="H34" s="190"/>
      <c r="I34" s="192"/>
      <c r="J34" s="189"/>
      <c r="K34" s="189"/>
      <c r="L34" s="190"/>
      <c r="M34" s="186"/>
      <c r="N34" s="187"/>
      <c r="O34" s="187"/>
      <c r="P34" s="187"/>
      <c r="Q34" s="188"/>
    </row>
    <row r="35" spans="1:17" ht="15.75" customHeight="1">
      <c r="B35" s="193"/>
      <c r="C35" s="184"/>
      <c r="D35" s="193"/>
      <c r="E35" s="196"/>
      <c r="F35" s="193"/>
      <c r="G35" s="190"/>
      <c r="H35" s="190"/>
      <c r="I35" s="193"/>
      <c r="J35" s="190"/>
      <c r="K35" s="190"/>
      <c r="L35" s="190"/>
      <c r="M35" s="210"/>
      <c r="N35" s="187"/>
      <c r="O35" s="187"/>
      <c r="P35" s="187"/>
      <c r="Q35" s="188"/>
    </row>
    <row r="36" spans="1:17" ht="15.75" customHeight="1">
      <c r="B36" s="192"/>
      <c r="C36" s="185"/>
      <c r="D36" s="192"/>
      <c r="E36" s="196"/>
      <c r="F36" s="193"/>
      <c r="G36" s="190"/>
      <c r="H36" s="190"/>
      <c r="I36" s="447"/>
      <c r="J36" s="448"/>
      <c r="K36" s="448"/>
      <c r="L36" s="449"/>
      <c r="M36" s="186"/>
      <c r="N36" s="187"/>
      <c r="O36" s="187"/>
      <c r="P36" s="187"/>
      <c r="Q36" s="188"/>
    </row>
    <row r="37" spans="1:17" ht="15.75" customHeight="1" thickBot="1">
      <c r="B37" s="194"/>
      <c r="C37" s="195"/>
      <c r="D37" s="194"/>
      <c r="E37" s="197"/>
      <c r="F37" s="194"/>
      <c r="G37" s="198"/>
      <c r="H37" s="198"/>
      <c r="I37" s="194"/>
      <c r="J37" s="198"/>
      <c r="K37" s="198"/>
      <c r="L37" s="198"/>
      <c r="M37" s="211"/>
      <c r="N37" s="205"/>
      <c r="O37" s="205"/>
      <c r="P37" s="205"/>
      <c r="Q37" s="207"/>
    </row>
    <row r="38" spans="1:17" ht="15.75" customHeight="1">
      <c r="B38" s="2"/>
      <c r="C38" s="1"/>
      <c r="D38" s="2"/>
      <c r="E38" s="2"/>
      <c r="F38" s="2"/>
      <c r="G38" s="2"/>
      <c r="I38" s="2"/>
      <c r="J38" s="2"/>
      <c r="K38" s="2"/>
      <c r="L38" s="2"/>
      <c r="M38" s="2"/>
    </row>
    <row r="39" spans="1:17" ht="15.75" customHeight="1">
      <c r="B39" s="2"/>
      <c r="C39" s="1"/>
      <c r="D39" s="2"/>
      <c r="E39" s="2"/>
      <c r="F39" s="2"/>
      <c r="G39" s="2"/>
      <c r="I39" s="2"/>
      <c r="J39" s="2"/>
      <c r="K39" s="2"/>
      <c r="L39" s="2"/>
      <c r="M39" s="2"/>
    </row>
    <row r="40" spans="1:17" ht="15.75" customHeight="1" thickBot="1"/>
    <row r="41" spans="1:17" ht="15.75" customHeight="1" thickTop="1" thickBot="1">
      <c r="B41" s="239"/>
      <c r="C41" s="34" t="s">
        <v>92</v>
      </c>
      <c r="D41" s="240" t="s">
        <v>93</v>
      </c>
      <c r="E41" s="241" t="s">
        <v>94</v>
      </c>
      <c r="F41" s="38" t="s">
        <v>95</v>
      </c>
      <c r="G41" s="91" t="s">
        <v>21</v>
      </c>
      <c r="H41" s="91" t="s">
        <v>0</v>
      </c>
      <c r="I41" s="242" t="s">
        <v>96</v>
      </c>
      <c r="J41" s="243" t="s">
        <v>97</v>
      </c>
    </row>
    <row r="42" spans="1:17" s="183" customFormat="1" ht="15.75" customHeight="1" thickBot="1">
      <c r="B42" s="250"/>
      <c r="C42" s="251"/>
      <c r="D42" s="246"/>
      <c r="E42" s="252"/>
      <c r="F42" s="41"/>
      <c r="G42" s="40"/>
      <c r="H42" s="40"/>
      <c r="I42" s="246"/>
      <c r="J42" s="40"/>
    </row>
    <row r="43" spans="1:17" s="183" customFormat="1" ht="15.75" customHeight="1" thickBot="1">
      <c r="B43" s="250"/>
      <c r="C43" s="251"/>
      <c r="D43" s="246"/>
      <c r="E43" s="252"/>
      <c r="F43" s="41"/>
      <c r="G43" s="40"/>
      <c r="H43" s="40"/>
      <c r="I43" s="246"/>
      <c r="J43" s="40"/>
    </row>
    <row r="44" spans="1:17" s="183" customFormat="1" ht="15.75" customHeight="1" thickBot="1">
      <c r="B44" s="250"/>
      <c r="C44" s="251"/>
      <c r="D44" s="246"/>
      <c r="E44" s="252"/>
      <c r="F44" s="41"/>
      <c r="G44" s="40"/>
      <c r="H44" s="40"/>
      <c r="I44" s="246"/>
      <c r="J44" s="40"/>
    </row>
    <row r="45" spans="1:17" s="183" customFormat="1" ht="15.75" customHeight="1" thickBot="1">
      <c r="B45" s="250"/>
      <c r="C45" s="251"/>
      <c r="D45" s="246"/>
      <c r="E45" s="252"/>
      <c r="F45" s="41"/>
      <c r="G45" s="40"/>
      <c r="H45" s="40"/>
      <c r="I45" s="246"/>
      <c r="J45" s="40"/>
    </row>
    <row r="46" spans="1:17" s="183" customFormat="1" ht="15.75" customHeight="1" thickBot="1">
      <c r="B46" s="250"/>
      <c r="C46" s="251" t="s">
        <v>124</v>
      </c>
      <c r="D46" s="246"/>
      <c r="E46" s="252"/>
      <c r="F46" s="41"/>
      <c r="G46" s="40"/>
      <c r="H46" s="40"/>
      <c r="I46" s="246"/>
      <c r="J46" s="40"/>
    </row>
    <row r="47" spans="1:17" s="183" customFormat="1" ht="15.75" customHeight="1" thickBot="1">
      <c r="B47" s="250"/>
      <c r="C47" s="251" t="s">
        <v>775</v>
      </c>
      <c r="D47" s="246"/>
      <c r="E47" s="252"/>
      <c r="F47" s="41"/>
      <c r="G47" s="40"/>
      <c r="H47" s="40"/>
      <c r="I47" s="246"/>
      <c r="J47" s="40"/>
    </row>
    <row r="48" spans="1:17" s="183" customFormat="1" ht="15.75" customHeight="1" thickBot="1">
      <c r="B48" s="250"/>
      <c r="C48" s="251" t="s">
        <v>775</v>
      </c>
      <c r="D48" s="246"/>
      <c r="E48" s="252"/>
      <c r="F48" s="41"/>
      <c r="G48" s="40"/>
      <c r="H48" s="40"/>
      <c r="I48" s="246"/>
      <c r="J48" s="40"/>
    </row>
    <row r="49" spans="2:11" s="183" customFormat="1" ht="23.25" customHeight="1" thickBot="1">
      <c r="B49" s="322" t="s">
        <v>38</v>
      </c>
      <c r="C49" s="323" t="s">
        <v>504</v>
      </c>
      <c r="D49" s="324" t="s">
        <v>505</v>
      </c>
      <c r="E49" s="325">
        <v>46080</v>
      </c>
      <c r="F49" s="326">
        <v>8500</v>
      </c>
      <c r="G49" s="327"/>
      <c r="H49" s="328" t="s">
        <v>144</v>
      </c>
      <c r="I49" s="329" t="s">
        <v>103</v>
      </c>
      <c r="J49" s="330" t="s">
        <v>502</v>
      </c>
    </row>
    <row r="50" spans="2:11" s="183" customFormat="1" ht="23.25" customHeight="1" thickBot="1">
      <c r="B50" s="250" t="s">
        <v>24</v>
      </c>
      <c r="C50" s="251" t="s">
        <v>504</v>
      </c>
      <c r="D50" s="246" t="s">
        <v>511</v>
      </c>
      <c r="E50" s="252">
        <v>46086</v>
      </c>
      <c r="F50" s="41">
        <v>40000</v>
      </c>
      <c r="G50" s="40" t="s">
        <v>101</v>
      </c>
      <c r="H50" s="40"/>
      <c r="I50" s="246"/>
      <c r="J50" s="40" t="s">
        <v>521</v>
      </c>
      <c r="K50" s="294" t="s">
        <v>555</v>
      </c>
    </row>
    <row r="51" spans="2:11" s="183" customFormat="1" ht="21" customHeight="1" thickBot="1">
      <c r="B51" s="302" t="s">
        <v>24</v>
      </c>
      <c r="C51" s="303" t="s">
        <v>509</v>
      </c>
      <c r="D51" s="304" t="s">
        <v>510</v>
      </c>
      <c r="E51" s="305">
        <v>46085</v>
      </c>
      <c r="F51" s="306">
        <v>105982.14</v>
      </c>
      <c r="G51" s="304" t="s">
        <v>101</v>
      </c>
      <c r="H51" s="304"/>
      <c r="I51" s="307"/>
      <c r="J51" s="304" t="s">
        <v>513</v>
      </c>
      <c r="K51" s="253" t="s">
        <v>528</v>
      </c>
    </row>
    <row r="52" spans="2:11" s="183" customFormat="1" ht="15" customHeight="1" thickBot="1">
      <c r="B52" s="250" t="s">
        <v>24</v>
      </c>
      <c r="C52" s="251" t="s">
        <v>512</v>
      </c>
      <c r="D52" s="40" t="s">
        <v>514</v>
      </c>
      <c r="E52" s="252">
        <v>46085</v>
      </c>
      <c r="F52" s="41">
        <v>304640</v>
      </c>
      <c r="G52" s="40" t="s">
        <v>101</v>
      </c>
      <c r="H52" s="40"/>
      <c r="I52" s="246"/>
      <c r="J52" s="40" t="s">
        <v>513</v>
      </c>
    </row>
    <row r="53" spans="2:11" s="183" customFormat="1" ht="32.25" customHeight="1" thickBot="1">
      <c r="B53" s="250" t="s">
        <v>24</v>
      </c>
      <c r="C53" s="251" t="s">
        <v>515</v>
      </c>
      <c r="D53" s="40" t="s">
        <v>516</v>
      </c>
      <c r="E53" s="252">
        <v>46084</v>
      </c>
      <c r="F53" s="41">
        <v>70000</v>
      </c>
      <c r="G53" s="40" t="s">
        <v>101</v>
      </c>
      <c r="H53" s="40"/>
      <c r="I53" s="246"/>
      <c r="J53" s="40" t="s">
        <v>517</v>
      </c>
      <c r="K53" s="253" t="s">
        <v>522</v>
      </c>
    </row>
    <row r="54" spans="2:11" s="3" customFormat="1" ht="21" customHeight="1" thickBot="1">
      <c r="B54" s="248" t="s">
        <v>98</v>
      </c>
      <c r="C54" s="249" t="s">
        <v>446</v>
      </c>
      <c r="D54" s="42" t="s">
        <v>526</v>
      </c>
      <c r="E54" s="244">
        <v>46084</v>
      </c>
      <c r="F54" s="41">
        <v>350000</v>
      </c>
      <c r="G54" s="40" t="s">
        <v>101</v>
      </c>
      <c r="H54" s="94" t="s">
        <v>563</v>
      </c>
      <c r="I54" s="245"/>
      <c r="J54" s="255" t="s">
        <v>500</v>
      </c>
      <c r="K54" s="254" t="s">
        <v>523</v>
      </c>
    </row>
    <row r="55" spans="2:11" s="183" customFormat="1" ht="15.75" customHeight="1" thickTop="1" thickBot="1">
      <c r="B55" s="89" t="s">
        <v>98</v>
      </c>
      <c r="C55" s="315" t="s">
        <v>110</v>
      </c>
      <c r="D55" s="316" t="s">
        <v>111</v>
      </c>
      <c r="E55" s="317">
        <v>46076</v>
      </c>
      <c r="F55" s="318">
        <v>5000</v>
      </c>
      <c r="G55" s="319" t="s">
        <v>101</v>
      </c>
      <c r="H55" s="320" t="s">
        <v>106</v>
      </c>
      <c r="I55" s="316" t="s">
        <v>103</v>
      </c>
      <c r="J55" s="321" t="s">
        <v>507</v>
      </c>
    </row>
    <row r="56" spans="2:11" s="183" customFormat="1" ht="66.75" customHeight="1" thickBot="1">
      <c r="B56" s="257" t="s">
        <v>98</v>
      </c>
      <c r="C56" s="258" t="s">
        <v>524</v>
      </c>
      <c r="D56" s="259" t="s">
        <v>525</v>
      </c>
      <c r="E56" s="260">
        <v>46078</v>
      </c>
      <c r="F56" s="261">
        <v>277400</v>
      </c>
      <c r="G56" s="262"/>
      <c r="H56" s="263" t="s">
        <v>529</v>
      </c>
      <c r="I56" s="263"/>
      <c r="J56" s="264" t="s">
        <v>104</v>
      </c>
    </row>
    <row r="57" spans="2:11" ht="39" customHeight="1" thickBot="1">
      <c r="B57" s="265" t="s">
        <v>98</v>
      </c>
      <c r="C57" s="266" t="s">
        <v>99</v>
      </c>
      <c r="D57" s="267" t="s">
        <v>100</v>
      </c>
      <c r="E57" s="268">
        <v>46077</v>
      </c>
      <c r="F57" s="269">
        <v>50500</v>
      </c>
      <c r="G57" s="270" t="s">
        <v>101</v>
      </c>
      <c r="H57" s="264" t="s">
        <v>102</v>
      </c>
      <c r="I57" s="265" t="s">
        <v>103</v>
      </c>
      <c r="J57" s="264" t="s">
        <v>104</v>
      </c>
    </row>
    <row r="58" spans="2:11" ht="36.75" customHeight="1" thickTop="1" thickBot="1">
      <c r="B58" s="36" t="s">
        <v>98</v>
      </c>
      <c r="C58" s="28" t="s">
        <v>105</v>
      </c>
      <c r="D58" s="29" t="s">
        <v>518</v>
      </c>
      <c r="E58" s="30">
        <v>46076</v>
      </c>
      <c r="F58" s="31">
        <v>613000</v>
      </c>
      <c r="G58" s="86" t="s">
        <v>101</v>
      </c>
      <c r="H58" s="33" t="s">
        <v>106</v>
      </c>
      <c r="I58" s="33" t="s">
        <v>103</v>
      </c>
      <c r="J58" s="32" t="s">
        <v>520</v>
      </c>
    </row>
    <row r="59" spans="2:11" s="183" customFormat="1" ht="36.75" customHeight="1" thickTop="1" thickBot="1">
      <c r="B59" s="36" t="s">
        <v>98</v>
      </c>
      <c r="C59" s="28" t="s">
        <v>105</v>
      </c>
      <c r="D59" s="29" t="s">
        <v>519</v>
      </c>
      <c r="E59" s="30">
        <v>46076</v>
      </c>
      <c r="F59" s="31">
        <v>165000</v>
      </c>
      <c r="G59" s="86" t="s">
        <v>101</v>
      </c>
      <c r="H59" s="33" t="s">
        <v>106</v>
      </c>
      <c r="I59" s="33" t="s">
        <v>103</v>
      </c>
      <c r="J59" s="32" t="s">
        <v>520</v>
      </c>
    </row>
    <row r="60" spans="2:11" ht="33" thickTop="1" thickBot="1">
      <c r="B60" s="295" t="s">
        <v>98</v>
      </c>
      <c r="C60" s="296" t="s">
        <v>107</v>
      </c>
      <c r="D60" s="297" t="s">
        <v>108</v>
      </c>
      <c r="E60" s="298">
        <v>46076</v>
      </c>
      <c r="F60" s="299" t="s">
        <v>109</v>
      </c>
      <c r="G60" s="300" t="s">
        <v>101</v>
      </c>
      <c r="H60" s="295" t="s">
        <v>106</v>
      </c>
      <c r="I60" s="295" t="s">
        <v>103</v>
      </c>
      <c r="J60" s="301" t="s">
        <v>556</v>
      </c>
      <c r="K60" s="253" t="s">
        <v>527</v>
      </c>
    </row>
    <row r="61" spans="2:11" ht="23.25" customHeight="1" thickTop="1" thickBot="1">
      <c r="B61" s="89" t="s">
        <v>98</v>
      </c>
      <c r="C61" s="37" t="s">
        <v>112</v>
      </c>
      <c r="D61" s="34" t="s">
        <v>113</v>
      </c>
      <c r="E61" s="35">
        <v>46076</v>
      </c>
      <c r="F61" s="38"/>
      <c r="G61" s="90" t="s">
        <v>101</v>
      </c>
      <c r="H61" s="91" t="s">
        <v>106</v>
      </c>
      <c r="I61" s="89" t="s">
        <v>103</v>
      </c>
      <c r="J61" s="39" t="s">
        <v>114</v>
      </c>
      <c r="K61" s="182" t="s">
        <v>440</v>
      </c>
    </row>
    <row r="62" spans="2:11" ht="38.25" customHeight="1" thickTop="1" thickBot="1">
      <c r="B62" s="95" t="s">
        <v>98</v>
      </c>
      <c r="C62" s="285" t="s">
        <v>115</v>
      </c>
      <c r="D62" s="95" t="s">
        <v>116</v>
      </c>
      <c r="E62" s="73">
        <v>46076</v>
      </c>
      <c r="F62" s="61">
        <v>6300</v>
      </c>
      <c r="G62" s="96" t="s">
        <v>101</v>
      </c>
      <c r="H62" s="75" t="s">
        <v>117</v>
      </c>
      <c r="I62" s="95" t="s">
        <v>103</v>
      </c>
      <c r="J62" s="75" t="s">
        <v>104</v>
      </c>
    </row>
    <row r="63" spans="2:11" ht="15.75" customHeight="1" thickTop="1" thickBot="1">
      <c r="B63" s="87" t="s">
        <v>98</v>
      </c>
      <c r="C63" s="97" t="s">
        <v>118</v>
      </c>
      <c r="D63" s="33" t="s">
        <v>119</v>
      </c>
      <c r="E63" s="62">
        <v>46073</v>
      </c>
      <c r="F63" s="58">
        <v>15000</v>
      </c>
      <c r="G63" s="86" t="s">
        <v>101</v>
      </c>
      <c r="H63" s="33" t="s">
        <v>106</v>
      </c>
      <c r="I63" s="33" t="s">
        <v>103</v>
      </c>
      <c r="J63" s="33" t="s">
        <v>246</v>
      </c>
    </row>
    <row r="64" spans="2:11" ht="25.5" customHeight="1" thickTop="1" thickBot="1">
      <c r="B64" s="87" t="s">
        <v>98</v>
      </c>
      <c r="C64" s="286" t="s">
        <v>120</v>
      </c>
      <c r="D64" s="36" t="s">
        <v>119</v>
      </c>
      <c r="E64" s="287">
        <v>46073</v>
      </c>
      <c r="F64" s="67">
        <v>8500</v>
      </c>
      <c r="G64" s="88" t="s">
        <v>101</v>
      </c>
      <c r="H64" s="21" t="s">
        <v>106</v>
      </c>
      <c r="I64" s="87" t="s">
        <v>103</v>
      </c>
      <c r="J64" s="36" t="s">
        <v>247</v>
      </c>
    </row>
    <row r="65" spans="2:12" ht="24.75" customHeight="1" thickTop="1" thickBot="1">
      <c r="B65" s="87" t="s">
        <v>98</v>
      </c>
      <c r="C65" s="286" t="s">
        <v>121</v>
      </c>
      <c r="D65" s="36" t="s">
        <v>122</v>
      </c>
      <c r="E65" s="54">
        <v>46069</v>
      </c>
      <c r="F65" s="67" t="s">
        <v>109</v>
      </c>
      <c r="G65" s="88" t="s">
        <v>101</v>
      </c>
      <c r="H65" s="36" t="s">
        <v>106</v>
      </c>
      <c r="I65" s="87" t="s">
        <v>103</v>
      </c>
      <c r="J65" s="21" t="s">
        <v>123</v>
      </c>
      <c r="K65" t="s">
        <v>557</v>
      </c>
    </row>
    <row r="66" spans="2:12" ht="22.5" customHeight="1" thickTop="1" thickBot="1">
      <c r="B66" s="87" t="s">
        <v>98</v>
      </c>
      <c r="C66" s="286" t="s">
        <v>124</v>
      </c>
      <c r="D66" s="36" t="s">
        <v>125</v>
      </c>
      <c r="E66" s="287">
        <v>46073</v>
      </c>
      <c r="F66" s="67"/>
      <c r="G66" s="88" t="s">
        <v>101</v>
      </c>
      <c r="H66" s="36" t="s">
        <v>106</v>
      </c>
      <c r="I66" s="87" t="s">
        <v>103</v>
      </c>
      <c r="J66" s="36" t="s">
        <v>126</v>
      </c>
      <c r="K66" s="253" t="s">
        <v>531</v>
      </c>
      <c r="L66" s="253" t="s">
        <v>530</v>
      </c>
    </row>
    <row r="67" spans="2:12" ht="31.5" customHeight="1" thickTop="1" thickBot="1">
      <c r="B67" s="295" t="s">
        <v>98</v>
      </c>
      <c r="C67" s="308" t="s">
        <v>127</v>
      </c>
      <c r="D67" s="309" t="s">
        <v>128</v>
      </c>
      <c r="E67" s="310">
        <v>46069</v>
      </c>
      <c r="F67" s="311">
        <v>1691000</v>
      </c>
      <c r="G67" s="300" t="s">
        <v>101</v>
      </c>
      <c r="H67" s="301" t="s">
        <v>129</v>
      </c>
      <c r="I67" s="309"/>
      <c r="J67" s="301" t="s">
        <v>130</v>
      </c>
    </row>
    <row r="68" spans="2:12" ht="36" customHeight="1" thickTop="1" thickBot="1">
      <c r="B68" s="295" t="s">
        <v>98</v>
      </c>
      <c r="C68" s="308" t="s">
        <v>112</v>
      </c>
      <c r="D68" s="295" t="s">
        <v>131</v>
      </c>
      <c r="E68" s="310">
        <v>46069</v>
      </c>
      <c r="F68" s="311">
        <v>6300</v>
      </c>
      <c r="G68" s="300" t="s">
        <v>101</v>
      </c>
      <c r="H68" s="301" t="s">
        <v>132</v>
      </c>
      <c r="I68" s="295" t="s">
        <v>103</v>
      </c>
      <c r="J68" s="301" t="s">
        <v>133</v>
      </c>
    </row>
    <row r="69" spans="2:12" ht="30.75" customHeight="1" thickTop="1" thickBot="1">
      <c r="B69" s="295" t="s">
        <v>98</v>
      </c>
      <c r="C69" s="308" t="s">
        <v>134</v>
      </c>
      <c r="D69" s="312" t="s">
        <v>135</v>
      </c>
      <c r="E69" s="310">
        <v>46064</v>
      </c>
      <c r="F69" s="311">
        <v>230000</v>
      </c>
      <c r="G69" s="300" t="s">
        <v>101</v>
      </c>
      <c r="H69" s="301" t="s">
        <v>136</v>
      </c>
      <c r="I69" s="295"/>
      <c r="J69" s="301" t="s">
        <v>137</v>
      </c>
    </row>
    <row r="70" spans="2:12" ht="27.75" customHeight="1" thickTop="1" thickBot="1">
      <c r="B70" s="95" t="s">
        <v>98</v>
      </c>
      <c r="C70" s="285" t="s">
        <v>138</v>
      </c>
      <c r="D70" s="95" t="s">
        <v>139</v>
      </c>
      <c r="E70" s="73">
        <v>46065</v>
      </c>
      <c r="F70" s="61">
        <v>715995</v>
      </c>
      <c r="G70" s="96" t="s">
        <v>101</v>
      </c>
      <c r="H70" s="75" t="s">
        <v>140</v>
      </c>
      <c r="I70" s="95" t="s">
        <v>103</v>
      </c>
      <c r="J70" s="75" t="s">
        <v>104</v>
      </c>
    </row>
    <row r="71" spans="2:12" ht="15.75" customHeight="1" thickTop="1" thickBot="1">
      <c r="B71" s="95" t="s">
        <v>98</v>
      </c>
      <c r="C71" s="285" t="s">
        <v>99</v>
      </c>
      <c r="D71" s="25" t="s">
        <v>141</v>
      </c>
      <c r="E71" s="73">
        <v>46064</v>
      </c>
      <c r="F71" s="61">
        <v>8400</v>
      </c>
      <c r="G71" s="96" t="s">
        <v>101</v>
      </c>
      <c r="H71" s="95" t="s">
        <v>142</v>
      </c>
      <c r="I71" s="95" t="s">
        <v>103</v>
      </c>
      <c r="J71" s="75" t="s">
        <v>104</v>
      </c>
    </row>
    <row r="72" spans="2:12" ht="34.5" customHeight="1" thickTop="1" thickBot="1">
      <c r="B72" s="95" t="s">
        <v>98</v>
      </c>
      <c r="C72" s="256" t="s">
        <v>145</v>
      </c>
      <c r="D72" s="25" t="s">
        <v>146</v>
      </c>
      <c r="E72" s="73">
        <v>46062</v>
      </c>
      <c r="F72" s="74">
        <v>62500</v>
      </c>
      <c r="G72" s="99" t="s">
        <v>101</v>
      </c>
      <c r="H72" s="75" t="s">
        <v>147</v>
      </c>
      <c r="I72" s="95" t="s">
        <v>103</v>
      </c>
      <c r="J72" s="75" t="s">
        <v>104</v>
      </c>
    </row>
    <row r="73" spans="2:12" ht="26.25" customHeight="1" thickTop="1" thickBot="1">
      <c r="B73" s="33" t="s">
        <v>98</v>
      </c>
      <c r="C73" s="57" t="s">
        <v>148</v>
      </c>
      <c r="D73" s="43" t="s">
        <v>149</v>
      </c>
      <c r="E73" s="47">
        <v>46062</v>
      </c>
      <c r="F73" s="45">
        <v>347330</v>
      </c>
      <c r="G73" s="84" t="s">
        <v>101</v>
      </c>
      <c r="H73" s="314" t="s">
        <v>144</v>
      </c>
      <c r="I73" s="33" t="s">
        <v>103</v>
      </c>
      <c r="J73" s="26" t="s">
        <v>91</v>
      </c>
    </row>
    <row r="74" spans="2:12" ht="25.5" customHeight="1" thickTop="1" thickBot="1">
      <c r="B74" s="87" t="s">
        <v>98</v>
      </c>
      <c r="C74" s="48" t="s">
        <v>150</v>
      </c>
      <c r="D74" s="49" t="s">
        <v>151</v>
      </c>
      <c r="E74" s="50">
        <v>46062</v>
      </c>
      <c r="F74" s="51" t="s">
        <v>152</v>
      </c>
      <c r="G74" s="53" t="s">
        <v>153</v>
      </c>
      <c r="H74" s="52" t="s">
        <v>154</v>
      </c>
      <c r="I74" s="87" t="s">
        <v>103</v>
      </c>
      <c r="J74" s="49"/>
    </row>
    <row r="75" spans="2:12" ht="22.5" customHeight="1" thickTop="1" thickBot="1">
      <c r="B75" s="295" t="s">
        <v>98</v>
      </c>
      <c r="C75" s="364" t="s">
        <v>155</v>
      </c>
      <c r="D75" s="353" t="s">
        <v>156</v>
      </c>
      <c r="E75" s="310">
        <v>46058</v>
      </c>
      <c r="F75" s="369" t="s">
        <v>157</v>
      </c>
      <c r="G75" s="309" t="s">
        <v>101</v>
      </c>
      <c r="H75" s="295" t="s">
        <v>571</v>
      </c>
      <c r="I75" s="295" t="s">
        <v>103</v>
      </c>
      <c r="J75" s="301" t="s">
        <v>104</v>
      </c>
    </row>
    <row r="76" spans="2:12" ht="21.75" customHeight="1" thickTop="1" thickBot="1">
      <c r="B76" s="87" t="s">
        <v>98</v>
      </c>
      <c r="C76" s="48" t="s">
        <v>158</v>
      </c>
      <c r="D76" s="49" t="s">
        <v>159</v>
      </c>
      <c r="E76" s="54">
        <v>46038</v>
      </c>
      <c r="F76" s="55"/>
      <c r="G76" s="53" t="s">
        <v>160</v>
      </c>
      <c r="H76" s="87" t="s">
        <v>161</v>
      </c>
      <c r="I76" s="87" t="s">
        <v>103</v>
      </c>
      <c r="J76" s="49"/>
    </row>
    <row r="77" spans="2:12" ht="15.75" customHeight="1" thickTop="1" thickBot="1">
      <c r="B77" s="87" t="s">
        <v>98</v>
      </c>
      <c r="C77" s="56" t="s">
        <v>162</v>
      </c>
      <c r="D77" s="49" t="s">
        <v>163</v>
      </c>
      <c r="E77" s="54">
        <v>46057</v>
      </c>
      <c r="F77" s="55">
        <v>95000</v>
      </c>
      <c r="G77" s="53" t="s">
        <v>164</v>
      </c>
      <c r="H77" s="53"/>
      <c r="I77" s="87"/>
      <c r="J77" s="49"/>
    </row>
    <row r="78" spans="2:12" ht="15.75" customHeight="1" thickTop="1" thickBot="1">
      <c r="B78" s="33" t="s">
        <v>98</v>
      </c>
      <c r="C78" s="57" t="s">
        <v>165</v>
      </c>
      <c r="D78" s="43" t="s">
        <v>166</v>
      </c>
      <c r="E78" s="98">
        <v>46057</v>
      </c>
      <c r="F78" s="58">
        <v>110000</v>
      </c>
      <c r="G78" s="84" t="s">
        <v>101</v>
      </c>
      <c r="H78" s="313" t="s">
        <v>167</v>
      </c>
      <c r="I78" s="33" t="s">
        <v>103</v>
      </c>
      <c r="J78" s="43" t="s">
        <v>91</v>
      </c>
    </row>
    <row r="79" spans="2:12" ht="29.25" customHeight="1" thickTop="1" thickBot="1">
      <c r="B79" s="295" t="s">
        <v>572</v>
      </c>
      <c r="C79" s="364" t="s">
        <v>168</v>
      </c>
      <c r="D79" s="309" t="s">
        <v>169</v>
      </c>
      <c r="E79" s="370" t="s">
        <v>170</v>
      </c>
      <c r="F79" s="311"/>
      <c r="G79" s="309" t="s">
        <v>101</v>
      </c>
      <c r="H79" s="354" t="s">
        <v>570</v>
      </c>
      <c r="I79" s="295" t="s">
        <v>103</v>
      </c>
      <c r="J79" s="301" t="s">
        <v>104</v>
      </c>
    </row>
    <row r="80" spans="2:12" ht="30.75" customHeight="1" thickTop="1" thickBot="1">
      <c r="B80" s="295" t="s">
        <v>98</v>
      </c>
      <c r="C80" s="351" t="s">
        <v>171</v>
      </c>
      <c r="D80" s="353" t="s">
        <v>172</v>
      </c>
      <c r="E80" s="371">
        <v>46043</v>
      </c>
      <c r="F80" s="311"/>
      <c r="G80" s="309" t="s">
        <v>173</v>
      </c>
      <c r="H80" s="353"/>
      <c r="I80" s="295" t="s">
        <v>103</v>
      </c>
      <c r="J80" s="301" t="s">
        <v>104</v>
      </c>
    </row>
    <row r="81" spans="2:10" ht="23.25" customHeight="1" thickTop="1" thickBot="1">
      <c r="B81" s="33" t="s">
        <v>98</v>
      </c>
      <c r="C81" s="57" t="s">
        <v>174</v>
      </c>
      <c r="D81" s="22" t="s">
        <v>175</v>
      </c>
      <c r="E81" s="62">
        <v>46043</v>
      </c>
      <c r="F81" s="58">
        <v>70000</v>
      </c>
      <c r="G81" s="53" t="s">
        <v>101</v>
      </c>
      <c r="H81" s="83" t="s">
        <v>167</v>
      </c>
      <c r="I81" s="87" t="s">
        <v>103</v>
      </c>
      <c r="J81" s="49"/>
    </row>
    <row r="82" spans="2:10" ht="15.75" customHeight="1" thickTop="1" thickBot="1">
      <c r="B82" s="87" t="s">
        <v>98</v>
      </c>
      <c r="C82" s="48" t="s">
        <v>176</v>
      </c>
      <c r="D82" s="53" t="s">
        <v>177</v>
      </c>
      <c r="E82" s="100">
        <v>46049</v>
      </c>
      <c r="F82" s="51"/>
      <c r="G82" s="53" t="s">
        <v>160</v>
      </c>
      <c r="H82" s="63" t="s">
        <v>178</v>
      </c>
      <c r="I82" s="87" t="s">
        <v>103</v>
      </c>
      <c r="J82" s="49"/>
    </row>
    <row r="83" spans="2:10" ht="15.75" customHeight="1" thickTop="1" thickBot="1">
      <c r="B83" s="36" t="s">
        <v>98</v>
      </c>
      <c r="C83" s="64" t="s">
        <v>179</v>
      </c>
      <c r="D83" s="65" t="s">
        <v>180</v>
      </c>
      <c r="E83" s="66">
        <v>46049</v>
      </c>
      <c r="F83" s="67">
        <v>45000</v>
      </c>
      <c r="G83" s="85" t="s">
        <v>101</v>
      </c>
      <c r="H83" s="68" t="s">
        <v>181</v>
      </c>
      <c r="I83" s="36" t="s">
        <v>103</v>
      </c>
      <c r="J83" s="21" t="s">
        <v>104</v>
      </c>
    </row>
    <row r="84" spans="2:10" ht="15.75" customHeight="1" thickTop="1" thickBot="1">
      <c r="B84" s="95" t="s">
        <v>98</v>
      </c>
      <c r="C84" s="101" t="s">
        <v>182</v>
      </c>
      <c r="D84" s="69" t="s">
        <v>180</v>
      </c>
      <c r="E84" s="70">
        <v>46049</v>
      </c>
      <c r="F84" s="61"/>
      <c r="G84" s="99" t="s">
        <v>183</v>
      </c>
      <c r="H84" s="71" t="s">
        <v>184</v>
      </c>
      <c r="I84" s="95" t="s">
        <v>103</v>
      </c>
      <c r="J84" s="75" t="s">
        <v>104</v>
      </c>
    </row>
    <row r="85" spans="2:10" ht="15.75" customHeight="1" thickTop="1" thickBot="1">
      <c r="B85" s="95" t="s">
        <v>98</v>
      </c>
      <c r="C85" s="72" t="s">
        <v>174</v>
      </c>
      <c r="D85" s="99" t="s">
        <v>185</v>
      </c>
      <c r="E85" s="102">
        <v>46048</v>
      </c>
      <c r="F85" s="61"/>
      <c r="G85" s="99" t="s">
        <v>101</v>
      </c>
      <c r="H85" s="23" t="s">
        <v>186</v>
      </c>
      <c r="I85" s="95" t="s">
        <v>103</v>
      </c>
      <c r="J85" s="75" t="s">
        <v>104</v>
      </c>
    </row>
    <row r="86" spans="2:10" ht="28.5" customHeight="1" thickTop="1" thickBot="1">
      <c r="B86" s="33" t="s">
        <v>98</v>
      </c>
      <c r="C86" s="57" t="s">
        <v>187</v>
      </c>
      <c r="D86" s="43" t="s">
        <v>188</v>
      </c>
      <c r="E86" s="98">
        <v>45673</v>
      </c>
      <c r="F86" s="58">
        <v>950000</v>
      </c>
      <c r="G86" s="53" t="s">
        <v>189</v>
      </c>
      <c r="H86" s="46" t="s">
        <v>144</v>
      </c>
      <c r="I86" s="87" t="s">
        <v>103</v>
      </c>
      <c r="J86" s="59" t="s">
        <v>190</v>
      </c>
    </row>
    <row r="87" spans="2:10" ht="24.75" customHeight="1" thickTop="1" thickBot="1">
      <c r="B87" s="295" t="s">
        <v>98</v>
      </c>
      <c r="C87" s="351" t="s">
        <v>148</v>
      </c>
      <c r="D87" s="312" t="s">
        <v>191</v>
      </c>
      <c r="E87" s="352">
        <v>46045</v>
      </c>
      <c r="F87" s="367">
        <v>1035000</v>
      </c>
      <c r="G87" s="309" t="s">
        <v>101</v>
      </c>
      <c r="H87" s="368" t="s">
        <v>569</v>
      </c>
      <c r="I87" s="295" t="s">
        <v>103</v>
      </c>
      <c r="J87" s="75" t="s">
        <v>104</v>
      </c>
    </row>
    <row r="88" spans="2:10" ht="24" customHeight="1" thickTop="1" thickBot="1">
      <c r="B88" s="33" t="s">
        <v>98</v>
      </c>
      <c r="C88" s="81" t="s">
        <v>192</v>
      </c>
      <c r="D88" s="26" t="s">
        <v>193</v>
      </c>
      <c r="E88" s="47">
        <v>46044</v>
      </c>
      <c r="F88" s="45">
        <v>23400</v>
      </c>
      <c r="G88" s="53" t="s">
        <v>194</v>
      </c>
      <c r="H88" s="46" t="s">
        <v>167</v>
      </c>
      <c r="I88" s="87" t="s">
        <v>103</v>
      </c>
      <c r="J88" s="59"/>
    </row>
    <row r="89" spans="2:10" ht="28.5" customHeight="1" thickTop="1" thickBot="1">
      <c r="B89" s="295" t="s">
        <v>98</v>
      </c>
      <c r="C89" s="364" t="s">
        <v>195</v>
      </c>
      <c r="D89" s="312" t="s">
        <v>196</v>
      </c>
      <c r="E89" s="352">
        <v>46044</v>
      </c>
      <c r="F89" s="365">
        <v>189000</v>
      </c>
      <c r="G89" s="309" t="s">
        <v>183</v>
      </c>
      <c r="H89" s="366" t="s">
        <v>568</v>
      </c>
      <c r="I89" s="295"/>
      <c r="J89" s="75" t="s">
        <v>104</v>
      </c>
    </row>
    <row r="90" spans="2:10" ht="21" customHeight="1" thickTop="1" thickBot="1">
      <c r="B90" s="95" t="s">
        <v>98</v>
      </c>
      <c r="C90" s="60" t="s">
        <v>179</v>
      </c>
      <c r="D90" s="25" t="s">
        <v>197</v>
      </c>
      <c r="E90" s="73">
        <v>46038</v>
      </c>
      <c r="F90" s="74">
        <v>70000</v>
      </c>
      <c r="G90" s="99" t="s">
        <v>101</v>
      </c>
      <c r="H90" s="75" t="s">
        <v>198</v>
      </c>
      <c r="I90" s="95" t="s">
        <v>103</v>
      </c>
      <c r="J90" s="75" t="s">
        <v>104</v>
      </c>
    </row>
    <row r="91" spans="2:10" ht="29.25" customHeight="1" thickTop="1" thickBot="1">
      <c r="B91" s="295" t="s">
        <v>98</v>
      </c>
      <c r="C91" s="351" t="s">
        <v>199</v>
      </c>
      <c r="D91" s="312" t="s">
        <v>200</v>
      </c>
      <c r="E91" s="352">
        <v>46036</v>
      </c>
      <c r="F91" s="311">
        <v>38700</v>
      </c>
      <c r="G91" s="309" t="s">
        <v>183</v>
      </c>
      <c r="H91" s="354" t="s">
        <v>562</v>
      </c>
      <c r="I91" s="295" t="s">
        <v>103</v>
      </c>
      <c r="J91" s="75" t="s">
        <v>104</v>
      </c>
    </row>
    <row r="92" spans="2:10" ht="36" customHeight="1" thickTop="1" thickBot="1">
      <c r="B92" s="95" t="s">
        <v>98</v>
      </c>
      <c r="C92" s="256" t="s">
        <v>145</v>
      </c>
      <c r="D92" s="25" t="s">
        <v>201</v>
      </c>
      <c r="E92" s="73">
        <v>46062</v>
      </c>
      <c r="F92" s="74">
        <v>29000</v>
      </c>
      <c r="G92" s="99" t="s">
        <v>101</v>
      </c>
      <c r="H92" s="75" t="s">
        <v>147</v>
      </c>
      <c r="I92" s="95" t="s">
        <v>103</v>
      </c>
      <c r="J92" s="75" t="s">
        <v>104</v>
      </c>
    </row>
    <row r="93" spans="2:10" ht="15.75" customHeight="1" thickTop="1" thickBot="1">
      <c r="B93" s="87" t="s">
        <v>98</v>
      </c>
      <c r="C93" s="48" t="s">
        <v>202</v>
      </c>
      <c r="D93" s="49" t="s">
        <v>203</v>
      </c>
      <c r="E93" s="49" t="s">
        <v>204</v>
      </c>
      <c r="F93" s="76">
        <v>8010000</v>
      </c>
      <c r="G93" s="53" t="s">
        <v>101</v>
      </c>
      <c r="H93" s="77" t="s">
        <v>205</v>
      </c>
      <c r="I93" s="87" t="s">
        <v>103</v>
      </c>
      <c r="J93" s="49"/>
    </row>
    <row r="94" spans="2:10" ht="15.75" customHeight="1" thickTop="1" thickBot="1">
      <c r="B94" s="87" t="s">
        <v>98</v>
      </c>
      <c r="C94" s="48" t="s">
        <v>202</v>
      </c>
      <c r="D94" s="49" t="s">
        <v>203</v>
      </c>
      <c r="E94" s="49" t="s">
        <v>204</v>
      </c>
      <c r="F94" s="76">
        <v>286000</v>
      </c>
      <c r="G94" s="53" t="s">
        <v>101</v>
      </c>
      <c r="H94" s="77" t="s">
        <v>206</v>
      </c>
      <c r="I94" s="87" t="s">
        <v>103</v>
      </c>
      <c r="J94" s="49"/>
    </row>
    <row r="95" spans="2:10" ht="15.75" customHeight="1" thickTop="1" thickBot="1">
      <c r="B95" s="87" t="s">
        <v>98</v>
      </c>
      <c r="C95" s="78" t="s">
        <v>207</v>
      </c>
      <c r="D95" s="24" t="s">
        <v>208</v>
      </c>
      <c r="E95" s="54">
        <v>46034</v>
      </c>
      <c r="F95" s="51">
        <v>3445200</v>
      </c>
      <c r="G95" s="53" t="s">
        <v>101</v>
      </c>
      <c r="H95" s="77" t="s">
        <v>178</v>
      </c>
      <c r="I95" s="87" t="s">
        <v>103</v>
      </c>
      <c r="J95" s="49"/>
    </row>
    <row r="96" spans="2:10" ht="15.75" customHeight="1" thickTop="1" thickBot="1">
      <c r="B96" s="87" t="s">
        <v>98</v>
      </c>
      <c r="C96" s="103" t="s">
        <v>209</v>
      </c>
      <c r="D96" s="79" t="s">
        <v>210</v>
      </c>
      <c r="E96" s="80">
        <v>46017</v>
      </c>
      <c r="F96" s="51"/>
      <c r="G96" s="53"/>
      <c r="H96" s="27" t="s">
        <v>211</v>
      </c>
      <c r="I96" s="87" t="s">
        <v>103</v>
      </c>
      <c r="J96" s="49"/>
    </row>
    <row r="97" spans="2:10" ht="26.25" customHeight="1" thickTop="1" thickBot="1">
      <c r="B97" s="33" t="s">
        <v>98</v>
      </c>
      <c r="C97" s="81" t="s">
        <v>212</v>
      </c>
      <c r="D97" s="26" t="s">
        <v>213</v>
      </c>
      <c r="E97" s="47">
        <v>46014</v>
      </c>
      <c r="F97" s="82">
        <v>66000</v>
      </c>
      <c r="G97" s="53" t="s">
        <v>214</v>
      </c>
      <c r="H97" s="83" t="s">
        <v>144</v>
      </c>
      <c r="I97" s="87" t="s">
        <v>103</v>
      </c>
      <c r="J97" s="49"/>
    </row>
    <row r="98" spans="2:10" ht="32.25" customHeight="1" thickTop="1" thickBot="1">
      <c r="B98" s="295" t="s">
        <v>98</v>
      </c>
      <c r="C98" s="356" t="s">
        <v>215</v>
      </c>
      <c r="D98" s="354" t="s">
        <v>216</v>
      </c>
      <c r="E98" s="310" t="s">
        <v>217</v>
      </c>
      <c r="F98" s="357">
        <v>860000</v>
      </c>
      <c r="G98" s="309"/>
      <c r="H98" s="358" t="s">
        <v>218</v>
      </c>
      <c r="I98" s="295" t="s">
        <v>103</v>
      </c>
      <c r="J98" s="353"/>
    </row>
    <row r="99" spans="2:10" ht="33" customHeight="1" thickTop="1" thickBot="1">
      <c r="B99" s="33" t="s">
        <v>98</v>
      </c>
      <c r="C99" s="355" t="s">
        <v>219</v>
      </c>
      <c r="D99" s="26" t="s">
        <v>220</v>
      </c>
      <c r="E99" s="47">
        <v>46013</v>
      </c>
      <c r="F99" s="82">
        <v>35000</v>
      </c>
      <c r="G99" s="84" t="s">
        <v>101</v>
      </c>
      <c r="H99" s="84" t="s">
        <v>144</v>
      </c>
      <c r="I99" s="33" t="s">
        <v>103</v>
      </c>
      <c r="J99" s="43" t="s">
        <v>221</v>
      </c>
    </row>
    <row r="100" spans="2:10" ht="15.75" customHeight="1" thickTop="1" thickBot="1">
      <c r="B100" s="265" t="s">
        <v>98</v>
      </c>
      <c r="C100" s="278" t="s">
        <v>222</v>
      </c>
      <c r="D100" s="279" t="s">
        <v>223</v>
      </c>
      <c r="E100" s="280" t="s">
        <v>224</v>
      </c>
      <c r="F100" s="281"/>
      <c r="G100" s="282" t="s">
        <v>101</v>
      </c>
      <c r="H100" s="283" t="s">
        <v>225</v>
      </c>
      <c r="I100" s="284" t="s">
        <v>103</v>
      </c>
      <c r="J100" s="264" t="s">
        <v>104</v>
      </c>
    </row>
    <row r="101" spans="2:10" ht="15.75" customHeight="1" thickTop="1" thickBot="1">
      <c r="B101" s="95" t="s">
        <v>98</v>
      </c>
      <c r="C101" s="271" t="s">
        <v>226</v>
      </c>
      <c r="D101" s="272" t="s">
        <v>227</v>
      </c>
      <c r="E101" s="273" t="s">
        <v>228</v>
      </c>
      <c r="F101" s="274">
        <v>15000</v>
      </c>
      <c r="G101" s="275" t="s">
        <v>183</v>
      </c>
      <c r="H101" s="276" t="s">
        <v>181</v>
      </c>
      <c r="I101" s="259" t="s">
        <v>103</v>
      </c>
      <c r="J101" s="75" t="s">
        <v>104</v>
      </c>
    </row>
    <row r="102" spans="2:10" ht="27.75" customHeight="1" thickTop="1" thickBot="1">
      <c r="B102" s="95" t="s">
        <v>98</v>
      </c>
      <c r="C102" s="60" t="s">
        <v>229</v>
      </c>
      <c r="D102" s="71"/>
      <c r="E102" s="71"/>
      <c r="F102" s="61"/>
      <c r="G102" s="277" t="s">
        <v>101</v>
      </c>
      <c r="H102" s="276" t="s">
        <v>225</v>
      </c>
      <c r="I102" s="95" t="s">
        <v>103</v>
      </c>
      <c r="J102" s="75" t="s">
        <v>104</v>
      </c>
    </row>
    <row r="103" spans="2:10" ht="24" customHeight="1" thickTop="1" thickBot="1">
      <c r="B103" s="95" t="s">
        <v>98</v>
      </c>
      <c r="C103" s="60" t="s">
        <v>230</v>
      </c>
      <c r="D103" s="71"/>
      <c r="E103" s="71"/>
      <c r="F103" s="61"/>
      <c r="G103" s="277" t="s">
        <v>101</v>
      </c>
      <c r="H103" s="276" t="s">
        <v>225</v>
      </c>
      <c r="I103" s="95" t="s">
        <v>103</v>
      </c>
      <c r="J103" s="75" t="s">
        <v>104</v>
      </c>
    </row>
    <row r="104" spans="2:10" ht="24" customHeight="1" thickTop="1" thickBot="1">
      <c r="B104" s="95" t="s">
        <v>98</v>
      </c>
      <c r="C104" s="60" t="s">
        <v>231</v>
      </c>
      <c r="D104" s="71"/>
      <c r="E104" s="71"/>
      <c r="F104" s="61"/>
      <c r="G104" s="275" t="s">
        <v>183</v>
      </c>
      <c r="H104" s="276" t="s">
        <v>225</v>
      </c>
      <c r="I104" s="95" t="s">
        <v>103</v>
      </c>
      <c r="J104" s="75" t="s">
        <v>104</v>
      </c>
    </row>
    <row r="105" spans="2:10" ht="27" customHeight="1" thickTop="1" thickBot="1">
      <c r="B105" s="95" t="s">
        <v>98</v>
      </c>
      <c r="C105" s="60" t="s">
        <v>232</v>
      </c>
      <c r="D105" s="71"/>
      <c r="E105" s="71"/>
      <c r="F105" s="61"/>
      <c r="G105" s="275" t="s">
        <v>183</v>
      </c>
      <c r="H105" s="276" t="s">
        <v>225</v>
      </c>
      <c r="I105" s="95" t="s">
        <v>103</v>
      </c>
      <c r="J105" s="75" t="s">
        <v>104</v>
      </c>
    </row>
    <row r="106" spans="2:10" ht="24" customHeight="1" thickTop="1" thickBot="1">
      <c r="B106" s="95" t="s">
        <v>98</v>
      </c>
      <c r="C106" s="60" t="s">
        <v>233</v>
      </c>
      <c r="D106" s="71"/>
      <c r="E106" s="71"/>
      <c r="F106" s="61"/>
      <c r="G106" s="275" t="s">
        <v>183</v>
      </c>
      <c r="H106" s="276" t="s">
        <v>225</v>
      </c>
      <c r="I106" s="95" t="s">
        <v>103</v>
      </c>
      <c r="J106" s="75" t="s">
        <v>104</v>
      </c>
    </row>
    <row r="107" spans="2:10" ht="15.75" customHeight="1" thickTop="1" thickBot="1">
      <c r="B107" s="95" t="s">
        <v>98</v>
      </c>
      <c r="C107" s="60" t="s">
        <v>234</v>
      </c>
      <c r="D107" s="71"/>
      <c r="E107" s="71"/>
      <c r="F107" s="61"/>
      <c r="G107" s="99"/>
      <c r="H107" s="71"/>
      <c r="I107" s="95" t="s">
        <v>103</v>
      </c>
      <c r="J107" s="75" t="s">
        <v>104</v>
      </c>
    </row>
    <row r="108" spans="2:10" ht="15.75" customHeight="1" thickTop="1" thickBot="1">
      <c r="B108" s="87" t="s">
        <v>98</v>
      </c>
      <c r="C108" s="49" t="s">
        <v>235</v>
      </c>
      <c r="D108" s="49"/>
      <c r="E108" s="49"/>
      <c r="F108" s="51"/>
      <c r="G108" s="53"/>
      <c r="H108" s="49"/>
      <c r="I108" s="87" t="s">
        <v>103</v>
      </c>
      <c r="J108" s="36"/>
    </row>
    <row r="109" spans="2:10" ht="15.75" customHeight="1" thickTop="1" thickBot="1">
      <c r="B109" s="87" t="s">
        <v>98</v>
      </c>
      <c r="C109" s="49" t="s">
        <v>236</v>
      </c>
      <c r="D109" s="49"/>
      <c r="E109" s="49"/>
      <c r="F109" s="51"/>
      <c r="G109" s="53" t="s">
        <v>101</v>
      </c>
      <c r="H109" s="49"/>
      <c r="I109" s="87" t="s">
        <v>103</v>
      </c>
      <c r="J109" s="36"/>
    </row>
    <row r="110" spans="2:10" ht="15.75" customHeight="1" thickTop="1" thickBot="1">
      <c r="B110" s="33" t="s">
        <v>143</v>
      </c>
      <c r="C110" s="43" t="s">
        <v>118</v>
      </c>
      <c r="D110" s="44" t="s">
        <v>508</v>
      </c>
      <c r="E110" s="247">
        <v>45970</v>
      </c>
      <c r="F110" s="45">
        <v>18400</v>
      </c>
      <c r="G110" s="53" t="s">
        <v>101</v>
      </c>
      <c r="H110" s="46" t="s">
        <v>144</v>
      </c>
      <c r="I110" s="87" t="s">
        <v>103</v>
      </c>
      <c r="J110" s="36"/>
    </row>
    <row r="111" spans="2:10" ht="15.75" customHeight="1" thickTop="1" thickBot="1">
      <c r="B111" s="53"/>
      <c r="C111" s="49" t="s">
        <v>237</v>
      </c>
      <c r="D111" s="49"/>
      <c r="E111" s="49"/>
      <c r="F111" s="51"/>
      <c r="G111" s="53"/>
      <c r="H111" s="49"/>
      <c r="I111" s="87" t="s">
        <v>103</v>
      </c>
      <c r="J111" s="36"/>
    </row>
    <row r="112" spans="2:10" ht="15.75" customHeight="1" thickTop="1" thickBot="1">
      <c r="B112" s="53"/>
      <c r="C112" s="49" t="s">
        <v>238</v>
      </c>
      <c r="D112" s="49"/>
      <c r="E112" s="49"/>
      <c r="F112" s="51"/>
      <c r="G112" s="53"/>
      <c r="H112" s="49"/>
      <c r="I112" s="87" t="s">
        <v>103</v>
      </c>
      <c r="J112" s="36"/>
    </row>
    <row r="113" spans="2:10" ht="15.75" customHeight="1" thickTop="1" thickBot="1">
      <c r="B113" s="53"/>
      <c r="C113" s="49" t="s">
        <v>239</v>
      </c>
      <c r="D113" s="49"/>
      <c r="E113" s="49"/>
      <c r="F113" s="51"/>
      <c r="G113" s="53"/>
      <c r="H113" s="49"/>
      <c r="I113" s="87" t="s">
        <v>103</v>
      </c>
      <c r="J113" s="36"/>
    </row>
    <row r="114" spans="2:10" ht="15.75" customHeight="1" thickTop="1" thickBot="1">
      <c r="B114" s="53"/>
      <c r="C114" s="84" t="s">
        <v>240</v>
      </c>
      <c r="D114" s="43" t="s">
        <v>241</v>
      </c>
      <c r="E114" s="62" t="s">
        <v>242</v>
      </c>
      <c r="F114" s="51"/>
      <c r="G114" s="53"/>
      <c r="H114" s="49"/>
      <c r="I114" s="87" t="s">
        <v>103</v>
      </c>
      <c r="J114" s="36"/>
    </row>
    <row r="115" spans="2:10" ht="15.75" customHeight="1" thickTop="1" thickBot="1">
      <c r="B115" s="53"/>
      <c r="C115" s="49" t="s">
        <v>243</v>
      </c>
      <c r="D115" s="49"/>
      <c r="E115" s="49"/>
      <c r="F115" s="51"/>
      <c r="G115" s="53"/>
      <c r="H115" s="49"/>
      <c r="I115" s="87" t="s">
        <v>103</v>
      </c>
      <c r="J115" s="36"/>
    </row>
    <row r="116" spans="2:10" ht="24" customHeight="1" thickTop="1" thickBot="1">
      <c r="B116" s="53"/>
      <c r="C116" s="49" t="s">
        <v>244</v>
      </c>
      <c r="D116" s="49"/>
      <c r="E116" s="49"/>
      <c r="F116" s="51"/>
      <c r="G116" s="53"/>
      <c r="H116" s="49"/>
      <c r="I116" s="87" t="s">
        <v>103</v>
      </c>
      <c r="J116" s="36"/>
    </row>
    <row r="117" spans="2:10" ht="24" customHeight="1" thickTop="1" thickBot="1">
      <c r="B117" s="53"/>
      <c r="C117" s="49" t="s">
        <v>245</v>
      </c>
      <c r="D117" s="49"/>
      <c r="E117" s="49"/>
      <c r="F117" s="51"/>
      <c r="G117" s="53"/>
      <c r="H117" s="49"/>
      <c r="I117" s="87" t="s">
        <v>103</v>
      </c>
      <c r="J117" s="36"/>
    </row>
    <row r="118" spans="2:10" ht="15.75" customHeight="1" thickTop="1"/>
    <row r="119" spans="2:10" ht="15.75" customHeight="1"/>
    <row r="120" spans="2:10" ht="15.75" customHeight="1"/>
    <row r="121" spans="2:10" ht="15.75" customHeight="1"/>
    <row r="122" spans="2:10" ht="15.75" customHeight="1"/>
    <row r="123" spans="2:10" ht="15.75" customHeight="1"/>
    <row r="124" spans="2:10" ht="15.75" customHeight="1"/>
    <row r="125" spans="2:10" ht="15.75" customHeight="1"/>
    <row r="126" spans="2:10" ht="15.75" customHeight="1"/>
    <row r="127" spans="2:10" ht="15.75" customHeight="1"/>
    <row r="128" spans="2:10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</sheetData>
  <autoFilter ref="B41:J117" xr:uid="{DE7D3082-EBA7-4894-8ED2-FE222F605590}"/>
  <mergeCells count="89">
    <mergeCell ref="B18:C18"/>
    <mergeCell ref="B20:C20"/>
    <mergeCell ref="D33:E33"/>
    <mergeCell ref="F33:H33"/>
    <mergeCell ref="I24:L24"/>
    <mergeCell ref="B26:H26"/>
    <mergeCell ref="I26:L26"/>
    <mergeCell ref="D23:E23"/>
    <mergeCell ref="D27:E27"/>
    <mergeCell ref="D24:E24"/>
    <mergeCell ref="D25:E25"/>
    <mergeCell ref="B19:C19"/>
    <mergeCell ref="D18:E18"/>
    <mergeCell ref="D19:E19"/>
    <mergeCell ref="D20:E20"/>
    <mergeCell ref="D21:E21"/>
    <mergeCell ref="D22:E22"/>
    <mergeCell ref="I5:L5"/>
    <mergeCell ref="M5:Q5"/>
    <mergeCell ref="F17:H17"/>
    <mergeCell ref="D17:E17"/>
    <mergeCell ref="F14:H14"/>
    <mergeCell ref="M16:Q16"/>
    <mergeCell ref="I19:L19"/>
    <mergeCell ref="I20:L20"/>
    <mergeCell ref="I21:L21"/>
    <mergeCell ref="I22:L22"/>
    <mergeCell ref="B5:H5"/>
    <mergeCell ref="B11:C11"/>
    <mergeCell ref="F11:H11"/>
    <mergeCell ref="F12:H12"/>
    <mergeCell ref="B12:C12"/>
    <mergeCell ref="B6:C6"/>
    <mergeCell ref="D6:E6"/>
    <mergeCell ref="F6:H6"/>
    <mergeCell ref="F7:H7"/>
    <mergeCell ref="B7:C7"/>
    <mergeCell ref="D7:E7"/>
    <mergeCell ref="I36:L36"/>
    <mergeCell ref="I16:L16"/>
    <mergeCell ref="B16:H16"/>
    <mergeCell ref="B17:C17"/>
    <mergeCell ref="F30:H30"/>
    <mergeCell ref="B32:C32"/>
    <mergeCell ref="D30:E30"/>
    <mergeCell ref="D31:E31"/>
    <mergeCell ref="D32:E32"/>
    <mergeCell ref="B21:C21"/>
    <mergeCell ref="B22:C22"/>
    <mergeCell ref="B23:C23"/>
    <mergeCell ref="B27:C27"/>
    <mergeCell ref="B24:C24"/>
    <mergeCell ref="B25:C25"/>
    <mergeCell ref="I18:L18"/>
    <mergeCell ref="I32:L32"/>
    <mergeCell ref="F31:H31"/>
    <mergeCell ref="F32:H32"/>
    <mergeCell ref="F28:H28"/>
    <mergeCell ref="M26:Q26"/>
    <mergeCell ref="F29:H29"/>
    <mergeCell ref="F27:H27"/>
    <mergeCell ref="I23:L23"/>
    <mergeCell ref="I31:L31"/>
    <mergeCell ref="D14:E14"/>
    <mergeCell ref="B14:C14"/>
    <mergeCell ref="B13:C13"/>
    <mergeCell ref="F13:H13"/>
    <mergeCell ref="D28:E28"/>
    <mergeCell ref="D29:E29"/>
    <mergeCell ref="F18:H18"/>
    <mergeCell ref="F19:H19"/>
    <mergeCell ref="F20:H20"/>
    <mergeCell ref="F21:H21"/>
    <mergeCell ref="F22:H22"/>
    <mergeCell ref="F23:H23"/>
    <mergeCell ref="F24:H24"/>
    <mergeCell ref="F25:H25"/>
    <mergeCell ref="F8:H8"/>
    <mergeCell ref="F9:H9"/>
    <mergeCell ref="F10:H10"/>
    <mergeCell ref="B10:C10"/>
    <mergeCell ref="D13:E13"/>
    <mergeCell ref="D9:E9"/>
    <mergeCell ref="D8:E8"/>
    <mergeCell ref="D11:E11"/>
    <mergeCell ref="D12:E12"/>
    <mergeCell ref="B8:C8"/>
    <mergeCell ref="B9:C9"/>
    <mergeCell ref="D10:E10"/>
  </mergeCells>
  <hyperlinks>
    <hyperlink ref="D18" r:id="rId1" xr:uid="{328C9B05-EE5D-444F-A99E-26F0BB213CA9}"/>
    <hyperlink ref="D19" r:id="rId2" xr:uid="{832328E4-D6DA-48B4-B3A7-7ED26F656E53}"/>
    <hyperlink ref="D20" r:id="rId3" xr:uid="{7E1FD48E-8E05-4BC5-B763-083DB81D56A9}"/>
    <hyperlink ref="D22" r:id="rId4" xr:uid="{E5C63967-376F-4091-B21F-94BD5A67B7D6}"/>
    <hyperlink ref="D24" r:id="rId5" xr:uid="{66C0EF76-2AE0-4126-B6FB-1C3DB74E498E}"/>
    <hyperlink ref="D25" r:id="rId6" xr:uid="{E6BD243A-B47C-40EE-8D50-485170182E4F}"/>
  </hyperlinks>
  <pageMargins left="0.7" right="0.7" top="0.75" bottom="0.75" header="0" footer="0"/>
  <pageSetup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8B7D-74EC-4A66-B94C-4E9D3D7EB16C}">
  <dimension ref="A1:AB47"/>
  <sheetViews>
    <sheetView topLeftCell="A49" zoomScaleNormal="100" workbookViewId="0">
      <selection activeCell="D52" sqref="D52"/>
    </sheetView>
  </sheetViews>
  <sheetFormatPr defaultRowHeight="11.25"/>
  <cols>
    <col min="1" max="1" width="14.85546875" style="379" customWidth="1"/>
    <col min="2" max="2" width="15.85546875" style="379" customWidth="1"/>
    <col min="3" max="3" width="20" style="389" customWidth="1"/>
    <col min="4" max="4" width="13.140625" style="379" customWidth="1"/>
    <col min="5" max="5" width="13" style="379" customWidth="1"/>
    <col min="6" max="6" width="15.85546875" style="379" customWidth="1"/>
    <col min="7" max="7" width="10.28515625" style="379" customWidth="1"/>
    <col min="8" max="8" width="11.7109375" style="379" customWidth="1"/>
    <col min="9" max="9" width="12.42578125" style="379" customWidth="1"/>
    <col min="10" max="10" width="16" style="379" customWidth="1"/>
    <col min="11" max="11" width="9.140625" style="379"/>
    <col min="12" max="12" width="20.85546875" style="379" customWidth="1"/>
    <col min="13" max="13" width="15.42578125" style="379" customWidth="1"/>
    <col min="14" max="14" width="15.28515625" style="379" customWidth="1"/>
    <col min="15" max="15" width="13.42578125" style="379" customWidth="1"/>
    <col min="16" max="16" width="11.85546875" style="379" customWidth="1"/>
    <col min="17" max="17" width="10" style="379" bestFit="1" customWidth="1"/>
    <col min="18" max="18" width="12" style="379" customWidth="1"/>
    <col min="19" max="19" width="11.5703125" style="379" customWidth="1"/>
    <col min="20" max="22" width="9.140625" style="379"/>
    <col min="23" max="23" width="12.5703125" style="379" customWidth="1"/>
    <col min="24" max="24" width="12" style="379" customWidth="1"/>
    <col min="25" max="25" width="11.42578125" style="379" customWidth="1"/>
    <col min="26" max="26" width="9.140625" style="379"/>
    <col min="27" max="27" width="12.85546875" style="379" customWidth="1"/>
    <col min="28" max="16384" width="9.140625" style="379"/>
  </cols>
  <sheetData>
    <row r="1" spans="1:28" s="116" customFormat="1" ht="36" customHeight="1" thickBot="1">
      <c r="A1" s="4" t="s">
        <v>3</v>
      </c>
      <c r="B1" s="4" t="s">
        <v>21</v>
      </c>
      <c r="C1" s="108" t="s">
        <v>4</v>
      </c>
      <c r="D1" s="4" t="s">
        <v>5</v>
      </c>
      <c r="E1" s="4" t="s">
        <v>6</v>
      </c>
      <c r="F1" s="145" t="s">
        <v>7</v>
      </c>
      <c r="G1" s="4" t="s">
        <v>72</v>
      </c>
      <c r="H1" s="4" t="s">
        <v>90</v>
      </c>
      <c r="I1" s="4" t="s">
        <v>8</v>
      </c>
      <c r="J1" s="4" t="s">
        <v>326</v>
      </c>
      <c r="K1" s="1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0</v>
      </c>
      <c r="U1" s="4" t="s">
        <v>13</v>
      </c>
      <c r="V1" s="4" t="s">
        <v>7</v>
      </c>
      <c r="W1" s="4" t="s">
        <v>18</v>
      </c>
      <c r="X1" s="4" t="s">
        <v>19</v>
      </c>
      <c r="Y1" s="4" t="s">
        <v>20</v>
      </c>
      <c r="Z1" s="7"/>
      <c r="AA1" s="7"/>
      <c r="AB1" s="7"/>
    </row>
    <row r="2" spans="1:28" ht="12" thickBot="1">
      <c r="A2" s="381"/>
      <c r="B2" s="381"/>
      <c r="C2" s="387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0"/>
      <c r="Z2" s="380"/>
      <c r="AA2" s="380"/>
      <c r="AB2" s="380"/>
    </row>
    <row r="3" spans="1:28" ht="12" thickBot="1">
      <c r="A3" s="381"/>
      <c r="B3" s="381"/>
      <c r="C3" s="387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0"/>
      <c r="Z3" s="380"/>
      <c r="AA3" s="380"/>
      <c r="AB3" s="380"/>
    </row>
    <row r="4" spans="1:28" ht="12" thickBot="1">
      <c r="A4" s="381"/>
      <c r="B4" s="381"/>
      <c r="C4" s="387"/>
      <c r="D4" s="381"/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381"/>
      <c r="Y4" s="380"/>
      <c r="Z4" s="380"/>
      <c r="AA4" s="380"/>
      <c r="AB4" s="380"/>
    </row>
    <row r="5" spans="1:28" ht="12" thickBot="1">
      <c r="A5" s="381"/>
      <c r="B5" s="381"/>
      <c r="C5" s="387"/>
      <c r="D5" s="381"/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0"/>
      <c r="Z5" s="380"/>
      <c r="AA5" s="380"/>
      <c r="AB5" s="380"/>
    </row>
    <row r="6" spans="1:28" ht="12" thickBot="1">
      <c r="A6" s="381"/>
      <c r="B6" s="381"/>
      <c r="C6" s="387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380"/>
      <c r="Z6" s="380"/>
      <c r="AA6" s="380"/>
      <c r="AB6" s="380"/>
    </row>
    <row r="7" spans="1:28" ht="12" thickBot="1">
      <c r="A7" s="381"/>
      <c r="B7" s="381"/>
      <c r="C7" s="387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0"/>
      <c r="Z7" s="380"/>
      <c r="AA7" s="380"/>
      <c r="AB7" s="380"/>
    </row>
    <row r="8" spans="1:28" ht="57" thickBot="1">
      <c r="A8" s="107">
        <v>45406</v>
      </c>
      <c r="B8" s="4" t="s">
        <v>576</v>
      </c>
      <c r="C8" s="108" t="s">
        <v>573</v>
      </c>
      <c r="D8" s="117" t="s">
        <v>23</v>
      </c>
      <c r="E8" s="4" t="s">
        <v>24</v>
      </c>
      <c r="F8" s="373">
        <v>644632.5</v>
      </c>
      <c r="G8" s="4">
        <v>1294</v>
      </c>
      <c r="H8" s="381"/>
      <c r="I8" s="4"/>
      <c r="J8" s="4" t="s">
        <v>574</v>
      </c>
      <c r="K8" s="381"/>
      <c r="L8" s="375" t="s">
        <v>575</v>
      </c>
      <c r="M8" s="4"/>
      <c r="N8" s="4"/>
      <c r="O8" s="381"/>
      <c r="P8" s="4"/>
      <c r="Q8" s="381"/>
      <c r="R8" s="381"/>
      <c r="S8" s="381"/>
      <c r="T8" s="4"/>
      <c r="U8" s="4"/>
      <c r="V8" s="4"/>
      <c r="W8" s="381"/>
      <c r="X8" s="381"/>
      <c r="Y8" s="380"/>
      <c r="Z8" s="380"/>
      <c r="AA8" s="380"/>
      <c r="AB8" s="380"/>
    </row>
    <row r="9" spans="1:28" ht="23.25" thickBot="1">
      <c r="A9" s="107">
        <v>45391</v>
      </c>
      <c r="B9" s="4" t="s">
        <v>576</v>
      </c>
      <c r="C9" s="108" t="s">
        <v>577</v>
      </c>
      <c r="D9" s="117" t="s">
        <v>23</v>
      </c>
      <c r="E9" s="4" t="s">
        <v>24</v>
      </c>
      <c r="F9" s="376">
        <v>250000</v>
      </c>
      <c r="G9" s="18" t="s">
        <v>325</v>
      </c>
      <c r="H9" s="381"/>
      <c r="I9" s="4"/>
      <c r="J9" s="375" t="s">
        <v>578</v>
      </c>
      <c r="K9" s="381"/>
      <c r="L9" s="4"/>
      <c r="M9" s="375"/>
      <c r="N9" s="4"/>
      <c r="O9" s="381"/>
      <c r="P9" s="375"/>
      <c r="Q9" s="381"/>
      <c r="R9" s="381"/>
      <c r="S9" s="381"/>
      <c r="T9" s="375"/>
      <c r="U9" s="375"/>
      <c r="V9" s="375"/>
      <c r="W9" s="381"/>
      <c r="X9" s="381"/>
      <c r="Y9" s="380"/>
      <c r="Z9" s="380"/>
      <c r="AA9" s="380"/>
      <c r="AB9" s="380"/>
    </row>
    <row r="10" spans="1:28" ht="34.5" thickBot="1">
      <c r="A10" s="382">
        <v>45408</v>
      </c>
      <c r="B10" s="4" t="s">
        <v>576</v>
      </c>
      <c r="C10" s="108" t="s">
        <v>579</v>
      </c>
      <c r="D10" s="117" t="s">
        <v>23</v>
      </c>
      <c r="E10" s="4" t="s">
        <v>24</v>
      </c>
      <c r="F10" s="376">
        <v>28000</v>
      </c>
      <c r="G10" s="382" t="s">
        <v>583</v>
      </c>
      <c r="H10" s="381"/>
      <c r="I10" s="4" t="s">
        <v>355</v>
      </c>
      <c r="J10" s="375" t="s">
        <v>580</v>
      </c>
      <c r="K10" s="381"/>
      <c r="L10" s="4" t="s">
        <v>581</v>
      </c>
      <c r="M10" s="375" t="s">
        <v>582</v>
      </c>
      <c r="N10" s="4"/>
      <c r="O10" s="381"/>
      <c r="P10" s="375"/>
      <c r="Q10" s="381"/>
      <c r="R10" s="381"/>
      <c r="S10" s="381"/>
      <c r="T10" s="375"/>
      <c r="U10" s="375"/>
      <c r="V10" s="375"/>
      <c r="W10" s="381"/>
      <c r="X10" s="381"/>
      <c r="Y10" s="380"/>
      <c r="Z10" s="380"/>
      <c r="AA10" s="380"/>
      <c r="AB10" s="380"/>
    </row>
    <row r="11" spans="1:28" ht="12" thickBot="1">
      <c r="A11" s="112">
        <v>45425</v>
      </c>
      <c r="B11" s="4" t="s">
        <v>576</v>
      </c>
      <c r="C11" s="108" t="s">
        <v>584</v>
      </c>
      <c r="D11" s="117" t="s">
        <v>23</v>
      </c>
      <c r="E11" s="4" t="s">
        <v>24</v>
      </c>
      <c r="F11" s="376">
        <v>17000</v>
      </c>
      <c r="G11" s="4" t="s">
        <v>588</v>
      </c>
      <c r="H11" s="381"/>
      <c r="I11" s="4"/>
      <c r="J11" s="375" t="s">
        <v>585</v>
      </c>
      <c r="K11" s="381"/>
      <c r="L11" s="375" t="s">
        <v>586</v>
      </c>
      <c r="M11" s="375" t="s">
        <v>587</v>
      </c>
      <c r="N11" s="4"/>
      <c r="O11" s="381"/>
      <c r="P11" s="375"/>
      <c r="Q11" s="381"/>
      <c r="R11" s="381"/>
      <c r="S11" s="381"/>
      <c r="T11" s="375"/>
      <c r="U11" s="375"/>
      <c r="V11" s="375"/>
      <c r="W11" s="381"/>
      <c r="X11" s="381"/>
      <c r="Y11" s="380"/>
      <c r="Z11" s="380"/>
      <c r="AA11" s="380"/>
      <c r="AB11" s="380"/>
    </row>
    <row r="12" spans="1:28" ht="23.25" thickBot="1">
      <c r="A12" s="107">
        <v>45483</v>
      </c>
      <c r="B12" s="4" t="s">
        <v>576</v>
      </c>
      <c r="C12" s="108" t="s">
        <v>589</v>
      </c>
      <c r="D12" s="117" t="s">
        <v>23</v>
      </c>
      <c r="E12" s="4" t="s">
        <v>24</v>
      </c>
      <c r="F12" s="376">
        <v>43700</v>
      </c>
      <c r="G12" s="4" t="s">
        <v>592</v>
      </c>
      <c r="H12" s="381"/>
      <c r="I12" s="4"/>
      <c r="J12" s="375" t="s">
        <v>590</v>
      </c>
      <c r="K12" s="381"/>
      <c r="L12" s="375" t="s">
        <v>591</v>
      </c>
      <c r="M12" s="375"/>
      <c r="N12" s="4"/>
      <c r="O12" s="381"/>
      <c r="P12" s="375"/>
      <c r="Q12" s="381"/>
      <c r="R12" s="381"/>
      <c r="S12" s="381"/>
      <c r="T12" s="375"/>
      <c r="U12" s="375"/>
      <c r="V12" s="375"/>
      <c r="W12" s="381"/>
      <c r="X12" s="381"/>
      <c r="Y12" s="380"/>
      <c r="Z12" s="380"/>
      <c r="AA12" s="380"/>
      <c r="AB12" s="380"/>
    </row>
    <row r="13" spans="1:28" ht="34.5" thickBot="1">
      <c r="A13" s="4" t="s">
        <v>422</v>
      </c>
      <c r="B13" s="4" t="s">
        <v>576</v>
      </c>
      <c r="C13" s="108" t="s">
        <v>593</v>
      </c>
      <c r="D13" s="117" t="s">
        <v>23</v>
      </c>
      <c r="E13" s="4" t="s">
        <v>24</v>
      </c>
      <c r="F13" s="376">
        <v>65470</v>
      </c>
      <c r="G13" s="4" t="s">
        <v>597</v>
      </c>
      <c r="H13" s="381"/>
      <c r="I13" s="4"/>
      <c r="J13" s="375" t="s">
        <v>594</v>
      </c>
      <c r="K13" s="381"/>
      <c r="L13" s="375" t="s">
        <v>595</v>
      </c>
      <c r="M13" s="375" t="s">
        <v>596</v>
      </c>
      <c r="N13" s="4"/>
      <c r="O13" s="381"/>
      <c r="P13" s="375"/>
      <c r="Q13" s="381"/>
      <c r="R13" s="381"/>
      <c r="S13" s="381"/>
      <c r="T13" s="375"/>
      <c r="U13" s="375"/>
      <c r="V13" s="375"/>
      <c r="W13" s="381"/>
      <c r="X13" s="381"/>
      <c r="Y13" s="380"/>
      <c r="Z13" s="380"/>
      <c r="AA13" s="380"/>
      <c r="AB13" s="380"/>
    </row>
    <row r="14" spans="1:28" ht="34.5" thickBot="1">
      <c r="A14" s="112">
        <v>45492</v>
      </c>
      <c r="B14" s="4" t="s">
        <v>576</v>
      </c>
      <c r="C14" s="108" t="s">
        <v>589</v>
      </c>
      <c r="D14" s="117" t="s">
        <v>23</v>
      </c>
      <c r="E14" s="4" t="s">
        <v>24</v>
      </c>
      <c r="F14" s="376">
        <v>35200</v>
      </c>
      <c r="G14" s="4" t="s">
        <v>600</v>
      </c>
      <c r="H14" s="381"/>
      <c r="I14" s="4"/>
      <c r="J14" s="375" t="s">
        <v>598</v>
      </c>
      <c r="K14" s="381"/>
      <c r="L14" s="375" t="s">
        <v>599</v>
      </c>
      <c r="M14" s="375"/>
      <c r="N14" s="4"/>
      <c r="O14" s="381"/>
      <c r="P14" s="375"/>
      <c r="Q14" s="381"/>
      <c r="R14" s="381"/>
      <c r="S14" s="381"/>
      <c r="T14" s="375"/>
      <c r="U14" s="375"/>
      <c r="V14" s="375"/>
      <c r="W14" s="381"/>
      <c r="X14" s="381"/>
      <c r="Y14" s="380"/>
      <c r="Z14" s="380"/>
      <c r="AA14" s="380"/>
      <c r="AB14" s="380"/>
    </row>
    <row r="15" spans="1:28" ht="45.75" thickBot="1">
      <c r="A15" s="112">
        <v>45491</v>
      </c>
      <c r="B15" s="4" t="s">
        <v>576</v>
      </c>
      <c r="C15" s="108" t="s">
        <v>601</v>
      </c>
      <c r="D15" s="117" t="s">
        <v>23</v>
      </c>
      <c r="E15" s="4" t="s">
        <v>24</v>
      </c>
      <c r="F15" s="375">
        <v>15361.61</v>
      </c>
      <c r="G15" s="4" t="s">
        <v>604</v>
      </c>
      <c r="H15" s="381"/>
      <c r="I15" s="4"/>
      <c r="J15" s="375" t="s">
        <v>602</v>
      </c>
      <c r="K15" s="381"/>
      <c r="L15" s="375" t="s">
        <v>603</v>
      </c>
      <c r="M15" s="375"/>
      <c r="N15" s="4"/>
      <c r="O15" s="381"/>
      <c r="P15" s="375"/>
      <c r="Q15" s="381"/>
      <c r="R15" s="381"/>
      <c r="S15" s="381"/>
      <c r="T15" s="375"/>
      <c r="U15" s="375"/>
      <c r="V15" s="375"/>
      <c r="W15" s="381"/>
      <c r="X15" s="381"/>
      <c r="Y15" s="380"/>
      <c r="Z15" s="380"/>
      <c r="AA15" s="380"/>
      <c r="AB15" s="380"/>
    </row>
    <row r="16" spans="1:28" ht="12" thickBot="1">
      <c r="A16" s="112">
        <v>45509</v>
      </c>
      <c r="B16" s="4" t="s">
        <v>576</v>
      </c>
      <c r="C16" s="108" t="s">
        <v>605</v>
      </c>
      <c r="D16" s="117" t="s">
        <v>23</v>
      </c>
      <c r="E16" s="4" t="s">
        <v>24</v>
      </c>
      <c r="F16" s="376">
        <v>3400</v>
      </c>
      <c r="G16" s="4" t="s">
        <v>606</v>
      </c>
      <c r="H16" s="381"/>
      <c r="I16" s="4"/>
      <c r="J16" s="375" t="s">
        <v>85</v>
      </c>
      <c r="K16" s="381"/>
      <c r="L16" s="375"/>
      <c r="M16" s="375"/>
      <c r="N16" s="4"/>
      <c r="O16" s="381"/>
      <c r="P16" s="375"/>
      <c r="Q16" s="381"/>
      <c r="R16" s="381"/>
      <c r="S16" s="381"/>
      <c r="T16" s="375"/>
      <c r="U16" s="375"/>
      <c r="V16" s="375"/>
      <c r="W16" s="381"/>
      <c r="X16" s="381"/>
      <c r="Y16" s="380"/>
      <c r="Z16" s="380"/>
      <c r="AA16" s="380"/>
      <c r="AB16" s="380"/>
    </row>
    <row r="17" spans="1:28" ht="34.5" thickBot="1">
      <c r="A17" s="382">
        <v>45558</v>
      </c>
      <c r="B17" s="4" t="s">
        <v>576</v>
      </c>
      <c r="C17" s="108" t="s">
        <v>579</v>
      </c>
      <c r="D17" s="117" t="s">
        <v>23</v>
      </c>
      <c r="E17" s="4" t="s">
        <v>24</v>
      </c>
      <c r="F17" s="376">
        <v>56000</v>
      </c>
      <c r="G17" s="382" t="s">
        <v>607</v>
      </c>
      <c r="H17" s="381"/>
      <c r="I17" s="4" t="s">
        <v>355</v>
      </c>
      <c r="J17" s="375" t="s">
        <v>580</v>
      </c>
      <c r="K17" s="381"/>
      <c r="L17" s="108" t="s">
        <v>581</v>
      </c>
      <c r="M17" s="375" t="s">
        <v>582</v>
      </c>
      <c r="N17" s="4"/>
      <c r="O17" s="381"/>
      <c r="P17" s="375"/>
      <c r="Q17" s="381"/>
      <c r="R17" s="381"/>
      <c r="S17" s="381"/>
      <c r="T17" s="375"/>
      <c r="U17" s="375"/>
      <c r="V17" s="375"/>
      <c r="W17" s="381"/>
      <c r="X17" s="381"/>
      <c r="Y17" s="380"/>
      <c r="Z17" s="380"/>
      <c r="AA17" s="380"/>
      <c r="AB17" s="380"/>
    </row>
    <row r="18" spans="1:28" ht="34.5" thickBot="1">
      <c r="A18" s="112">
        <v>45559</v>
      </c>
      <c r="B18" s="4" t="s">
        <v>576</v>
      </c>
      <c r="C18" s="108" t="s">
        <v>608</v>
      </c>
      <c r="D18" s="117" t="s">
        <v>23</v>
      </c>
      <c r="E18" s="4" t="s">
        <v>24</v>
      </c>
      <c r="F18" s="383">
        <v>113950</v>
      </c>
      <c r="G18" s="4" t="s">
        <v>610</v>
      </c>
      <c r="H18" s="381"/>
      <c r="I18" s="4"/>
      <c r="J18" s="375" t="s">
        <v>56</v>
      </c>
      <c r="K18" s="381"/>
      <c r="L18" s="375" t="s">
        <v>609</v>
      </c>
      <c r="M18" s="375"/>
      <c r="N18" s="4"/>
      <c r="O18" s="381"/>
      <c r="P18" s="375"/>
      <c r="Q18" s="381"/>
      <c r="R18" s="381"/>
      <c r="S18" s="381"/>
      <c r="T18" s="375"/>
      <c r="U18" s="375"/>
      <c r="V18" s="375"/>
      <c r="W18" s="381"/>
      <c r="X18" s="381"/>
      <c r="Y18" s="380"/>
      <c r="Z18" s="380"/>
      <c r="AA18" s="380"/>
      <c r="AB18" s="380"/>
    </row>
    <row r="19" spans="1:28" ht="45.75" thickBot="1">
      <c r="A19" s="112">
        <v>45555</v>
      </c>
      <c r="B19" s="4" t="s">
        <v>576</v>
      </c>
      <c r="C19" s="108" t="s">
        <v>573</v>
      </c>
      <c r="D19" s="117" t="s">
        <v>23</v>
      </c>
      <c r="E19" s="4" t="s">
        <v>24</v>
      </c>
      <c r="F19" s="4">
        <v>9986.8799999999992</v>
      </c>
      <c r="G19" s="4">
        <v>1532</v>
      </c>
      <c r="H19" s="381"/>
      <c r="I19" s="4"/>
      <c r="J19" s="375" t="s">
        <v>56</v>
      </c>
      <c r="K19" s="381"/>
      <c r="L19" s="375" t="s">
        <v>575</v>
      </c>
      <c r="M19" s="375"/>
      <c r="N19" s="4"/>
      <c r="O19" s="381"/>
      <c r="P19" s="375"/>
      <c r="Q19" s="381"/>
      <c r="R19" s="381"/>
      <c r="S19" s="381"/>
      <c r="T19" s="375"/>
      <c r="U19" s="375"/>
      <c r="V19" s="375"/>
      <c r="W19" s="381"/>
      <c r="X19" s="381"/>
      <c r="Y19" s="380"/>
      <c r="Z19" s="380"/>
      <c r="AA19" s="380"/>
      <c r="AB19" s="380"/>
    </row>
    <row r="20" spans="1:28" ht="23.25" thickBot="1">
      <c r="A20" s="112">
        <v>45568</v>
      </c>
      <c r="B20" s="4" t="s">
        <v>576</v>
      </c>
      <c r="C20" s="108" t="s">
        <v>605</v>
      </c>
      <c r="D20" s="117" t="s">
        <v>23</v>
      </c>
      <c r="E20" s="4" t="s">
        <v>24</v>
      </c>
      <c r="F20" s="376">
        <v>18100</v>
      </c>
      <c r="G20" s="4">
        <v>2024008</v>
      </c>
      <c r="H20" s="381"/>
      <c r="I20" s="4"/>
      <c r="J20" s="375" t="s">
        <v>56</v>
      </c>
      <c r="K20" s="381"/>
      <c r="L20" s="375" t="s">
        <v>611</v>
      </c>
      <c r="M20" s="375"/>
      <c r="N20" s="4"/>
      <c r="O20" s="381"/>
      <c r="P20" s="375"/>
      <c r="Q20" s="381"/>
      <c r="R20" s="381"/>
      <c r="S20" s="381"/>
      <c r="T20" s="375"/>
      <c r="U20" s="375"/>
      <c r="V20" s="375"/>
      <c r="W20" s="381"/>
      <c r="X20" s="381"/>
      <c r="Y20" s="380"/>
      <c r="Z20" s="380"/>
      <c r="AA20" s="380"/>
      <c r="AB20" s="380"/>
    </row>
    <row r="21" spans="1:28" ht="34.5" thickBot="1">
      <c r="A21" s="112">
        <v>45492</v>
      </c>
      <c r="B21" s="4" t="s">
        <v>576</v>
      </c>
      <c r="C21" s="108" t="s">
        <v>589</v>
      </c>
      <c r="D21" s="117" t="s">
        <v>23</v>
      </c>
      <c r="E21" s="4" t="s">
        <v>24</v>
      </c>
      <c r="F21" s="376">
        <v>6000</v>
      </c>
      <c r="G21" s="4" t="s">
        <v>600</v>
      </c>
      <c r="H21" s="381"/>
      <c r="I21" s="4"/>
      <c r="J21" s="375" t="s">
        <v>612</v>
      </c>
      <c r="K21" s="381"/>
      <c r="L21" s="375" t="s">
        <v>599</v>
      </c>
      <c r="M21" s="375"/>
      <c r="N21" s="4"/>
      <c r="O21" s="381"/>
      <c r="P21" s="375"/>
      <c r="Q21" s="381"/>
      <c r="R21" s="381"/>
      <c r="S21" s="381"/>
      <c r="T21" s="375"/>
      <c r="U21" s="375"/>
      <c r="V21" s="375"/>
      <c r="W21" s="381"/>
      <c r="X21" s="381"/>
      <c r="Y21" s="380"/>
      <c r="Z21" s="380"/>
      <c r="AA21" s="380"/>
      <c r="AB21" s="380"/>
    </row>
    <row r="22" spans="1:28" ht="23.25" thickBot="1">
      <c r="A22" s="112">
        <v>45587</v>
      </c>
      <c r="B22" s="4" t="s">
        <v>576</v>
      </c>
      <c r="C22" s="108" t="s">
        <v>613</v>
      </c>
      <c r="D22" s="117" t="s">
        <v>23</v>
      </c>
      <c r="E22" s="4" t="s">
        <v>24</v>
      </c>
      <c r="F22" s="376">
        <v>251000</v>
      </c>
      <c r="G22" s="4" t="s">
        <v>615</v>
      </c>
      <c r="H22" s="381"/>
      <c r="I22" s="4"/>
      <c r="J22" s="375" t="s">
        <v>602</v>
      </c>
      <c r="K22" s="381"/>
      <c r="L22" s="375" t="s">
        <v>614</v>
      </c>
      <c r="M22" s="375"/>
      <c r="N22" s="4"/>
      <c r="O22" s="381"/>
      <c r="P22" s="375"/>
      <c r="Q22" s="381"/>
      <c r="R22" s="381"/>
      <c r="S22" s="381"/>
      <c r="T22" s="375"/>
      <c r="U22" s="375"/>
      <c r="V22" s="375"/>
      <c r="W22" s="381"/>
      <c r="X22" s="381"/>
      <c r="Y22" s="380"/>
      <c r="Z22" s="380"/>
      <c r="AA22" s="380"/>
      <c r="AB22" s="380"/>
    </row>
    <row r="23" spans="1:28" ht="34.5" thickBot="1">
      <c r="A23" s="112">
        <v>45617</v>
      </c>
      <c r="B23" s="4" t="s">
        <v>576</v>
      </c>
      <c r="C23" s="108" t="s">
        <v>616</v>
      </c>
      <c r="D23" s="117" t="s">
        <v>23</v>
      </c>
      <c r="E23" s="4" t="s">
        <v>24</v>
      </c>
      <c r="F23" s="376">
        <v>116500</v>
      </c>
      <c r="G23" s="4" t="s">
        <v>619</v>
      </c>
      <c r="H23" s="381"/>
      <c r="I23" s="4"/>
      <c r="J23" s="375" t="s">
        <v>580</v>
      </c>
      <c r="K23" s="381"/>
      <c r="L23" s="375" t="s">
        <v>617</v>
      </c>
      <c r="M23" s="384" t="s">
        <v>618</v>
      </c>
      <c r="N23" s="4"/>
      <c r="O23" s="381"/>
      <c r="P23" s="375"/>
      <c r="Q23" s="381"/>
      <c r="R23" s="381"/>
      <c r="S23" s="381"/>
      <c r="T23" s="375"/>
      <c r="U23" s="375"/>
      <c r="V23" s="375"/>
      <c r="W23" s="381"/>
      <c r="X23" s="381"/>
      <c r="Y23" s="380"/>
      <c r="Z23" s="380"/>
      <c r="AA23" s="380"/>
      <c r="AB23" s="380"/>
    </row>
    <row r="24" spans="1:28" ht="34.5" thickBot="1">
      <c r="A24" s="112">
        <v>45705</v>
      </c>
      <c r="B24" s="4" t="s">
        <v>576</v>
      </c>
      <c r="C24" s="108" t="s">
        <v>620</v>
      </c>
      <c r="D24" s="117" t="s">
        <v>23</v>
      </c>
      <c r="E24" s="4" t="s">
        <v>429</v>
      </c>
      <c r="F24" s="376">
        <v>10000</v>
      </c>
      <c r="G24" s="4" t="s">
        <v>621</v>
      </c>
      <c r="H24" s="381"/>
      <c r="I24" s="4" t="s">
        <v>355</v>
      </c>
      <c r="J24" s="375" t="s">
        <v>356</v>
      </c>
      <c r="K24" s="381"/>
      <c r="L24" s="375"/>
      <c r="M24" s="375"/>
      <c r="N24" s="4"/>
      <c r="O24" s="381"/>
      <c r="P24" s="375"/>
      <c r="Q24" s="381"/>
      <c r="R24" s="381"/>
      <c r="S24" s="381"/>
      <c r="T24" s="375"/>
      <c r="U24" s="375"/>
      <c r="V24" s="375"/>
      <c r="W24" s="381"/>
      <c r="X24" s="381"/>
      <c r="Y24" s="380"/>
      <c r="Z24" s="380"/>
      <c r="AA24" s="380"/>
      <c r="AB24" s="380"/>
    </row>
    <row r="25" spans="1:28" ht="34.5" thickBot="1">
      <c r="A25" s="112">
        <v>45694</v>
      </c>
      <c r="B25" s="4" t="s">
        <v>576</v>
      </c>
      <c r="C25" s="108" t="s">
        <v>622</v>
      </c>
      <c r="D25" s="117" t="s">
        <v>23</v>
      </c>
      <c r="E25" s="4" t="s">
        <v>24</v>
      </c>
      <c r="F25" s="376">
        <v>28500</v>
      </c>
      <c r="G25" s="4" t="s">
        <v>626</v>
      </c>
      <c r="H25" s="381"/>
      <c r="I25" s="4" t="s">
        <v>355</v>
      </c>
      <c r="J25" s="375" t="s">
        <v>623</v>
      </c>
      <c r="K25" s="381"/>
      <c r="L25" s="375" t="s">
        <v>624</v>
      </c>
      <c r="M25" s="375" t="s">
        <v>625</v>
      </c>
      <c r="N25" s="4"/>
      <c r="O25" s="381"/>
      <c r="P25" s="375"/>
      <c r="Q25" s="381"/>
      <c r="R25" s="381"/>
      <c r="S25" s="381"/>
      <c r="T25" s="375"/>
      <c r="U25" s="375"/>
      <c r="V25" s="375"/>
      <c r="W25" s="381"/>
      <c r="X25" s="381"/>
      <c r="Y25" s="380"/>
      <c r="Z25" s="380"/>
      <c r="AA25" s="380"/>
      <c r="AB25" s="380"/>
    </row>
    <row r="26" spans="1:28" ht="34.5" thickBot="1">
      <c r="A26" s="112">
        <v>45994</v>
      </c>
      <c r="B26" s="4" t="s">
        <v>576</v>
      </c>
      <c r="C26" s="108" t="s">
        <v>627</v>
      </c>
      <c r="D26" s="117" t="s">
        <v>23</v>
      </c>
      <c r="E26" s="4" t="s">
        <v>24</v>
      </c>
      <c r="F26" s="376">
        <v>120000</v>
      </c>
      <c r="G26" s="4" t="s">
        <v>629</v>
      </c>
      <c r="H26" s="381"/>
      <c r="I26" s="4"/>
      <c r="J26" s="375" t="s">
        <v>85</v>
      </c>
      <c r="K26" s="381"/>
      <c r="L26" s="375" t="s">
        <v>628</v>
      </c>
      <c r="M26" s="375">
        <v>92182657858</v>
      </c>
      <c r="N26" s="4"/>
      <c r="O26" s="381"/>
      <c r="P26" s="375"/>
      <c r="Q26" s="381"/>
      <c r="R26" s="381"/>
      <c r="S26" s="381"/>
      <c r="T26" s="375"/>
      <c r="U26" s="375"/>
      <c r="V26" s="375"/>
      <c r="W26" s="381"/>
      <c r="X26" s="381"/>
      <c r="Y26" s="380"/>
      <c r="Z26" s="380"/>
      <c r="AA26" s="380"/>
      <c r="AB26" s="380"/>
    </row>
    <row r="27" spans="1:28" ht="34.5" thickBot="1">
      <c r="A27" s="112">
        <v>45773</v>
      </c>
      <c r="B27" s="4" t="s">
        <v>576</v>
      </c>
      <c r="C27" s="108" t="s">
        <v>630</v>
      </c>
      <c r="D27" s="117" t="s">
        <v>23</v>
      </c>
      <c r="E27" s="4" t="s">
        <v>24</v>
      </c>
      <c r="F27" s="146">
        <v>37800</v>
      </c>
      <c r="G27" s="4"/>
      <c r="H27" s="381"/>
      <c r="I27" s="4"/>
      <c r="J27" s="375"/>
      <c r="K27" s="381"/>
      <c r="L27" s="375" t="s">
        <v>631</v>
      </c>
      <c r="M27" s="375"/>
      <c r="N27" s="4"/>
      <c r="O27" s="381"/>
      <c r="P27" s="375"/>
      <c r="Q27" s="381"/>
      <c r="R27" s="381"/>
      <c r="S27" s="381"/>
      <c r="T27" s="375"/>
      <c r="U27" s="375"/>
      <c r="V27" s="375"/>
      <c r="W27" s="381"/>
      <c r="X27" s="381"/>
      <c r="Y27" s="380"/>
      <c r="Z27" s="380"/>
      <c r="AA27" s="380"/>
      <c r="AB27" s="380"/>
    </row>
    <row r="28" spans="1:28" s="377" customFormat="1" ht="68.25" thickBot="1">
      <c r="A28" s="112">
        <v>45768</v>
      </c>
      <c r="B28" s="4" t="s">
        <v>576</v>
      </c>
      <c r="C28" s="108" t="s">
        <v>632</v>
      </c>
      <c r="D28" s="117" t="s">
        <v>23</v>
      </c>
      <c r="E28" s="4" t="s">
        <v>24</v>
      </c>
      <c r="F28" s="376">
        <v>108000</v>
      </c>
      <c r="G28" s="4" t="s">
        <v>634</v>
      </c>
      <c r="H28" s="375"/>
      <c r="I28" s="4"/>
      <c r="J28" s="375"/>
      <c r="K28" s="375"/>
      <c r="L28" s="375" t="s">
        <v>633</v>
      </c>
      <c r="M28" s="375"/>
      <c r="N28" s="4"/>
      <c r="O28" s="375"/>
      <c r="P28" s="375"/>
      <c r="Q28" s="375"/>
      <c r="R28" s="375"/>
      <c r="S28" s="375"/>
      <c r="T28" s="375"/>
      <c r="U28" s="375"/>
      <c r="V28" s="375"/>
      <c r="W28" s="375"/>
      <c r="X28" s="375"/>
      <c r="Y28" s="374"/>
      <c r="Z28" s="374"/>
      <c r="AA28" s="374"/>
      <c r="AB28" s="374"/>
    </row>
    <row r="29" spans="1:28" ht="12" thickBot="1">
      <c r="A29" s="112">
        <v>45509</v>
      </c>
      <c r="B29" s="4" t="s">
        <v>576</v>
      </c>
      <c r="C29" s="108" t="s">
        <v>605</v>
      </c>
      <c r="D29" s="117" t="s">
        <v>23</v>
      </c>
      <c r="E29" s="4" t="s">
        <v>24</v>
      </c>
      <c r="F29" s="376">
        <v>71000</v>
      </c>
      <c r="G29" s="4">
        <v>2025001</v>
      </c>
      <c r="H29" s="381"/>
      <c r="I29" s="4" t="s">
        <v>30</v>
      </c>
      <c r="J29" s="375" t="s">
        <v>89</v>
      </c>
      <c r="K29" s="381"/>
      <c r="L29" s="375"/>
      <c r="M29" s="375"/>
      <c r="N29" s="4"/>
      <c r="O29" s="381"/>
      <c r="P29" s="375"/>
      <c r="Q29" s="381"/>
      <c r="R29" s="381"/>
      <c r="S29" s="381"/>
      <c r="T29" s="375"/>
      <c r="U29" s="375"/>
      <c r="V29" s="375"/>
      <c r="W29" s="381"/>
      <c r="X29" s="381"/>
      <c r="Y29" s="380"/>
      <c r="Z29" s="380"/>
      <c r="AA29" s="380"/>
      <c r="AB29" s="380"/>
    </row>
    <row r="30" spans="1:28" ht="12" thickBot="1">
      <c r="A30" s="112">
        <v>45803</v>
      </c>
      <c r="B30" s="4" t="s">
        <v>576</v>
      </c>
      <c r="C30" s="108" t="s">
        <v>605</v>
      </c>
      <c r="D30" s="117" t="s">
        <v>23</v>
      </c>
      <c r="E30" s="4" t="s">
        <v>24</v>
      </c>
      <c r="F30" s="376">
        <v>40000</v>
      </c>
      <c r="G30" s="4">
        <v>2025002</v>
      </c>
      <c r="H30" s="381"/>
      <c r="I30" s="4" t="s">
        <v>30</v>
      </c>
      <c r="J30" s="375" t="s">
        <v>89</v>
      </c>
      <c r="K30" s="381"/>
      <c r="L30" s="375"/>
      <c r="M30" s="375"/>
      <c r="N30" s="4"/>
      <c r="O30" s="381"/>
      <c r="P30" s="375"/>
      <c r="Q30" s="381"/>
      <c r="R30" s="381"/>
      <c r="S30" s="381"/>
      <c r="T30" s="375"/>
      <c r="U30" s="375"/>
      <c r="V30" s="375"/>
      <c r="W30" s="381"/>
      <c r="X30" s="381"/>
      <c r="Y30" s="380"/>
      <c r="Z30" s="380"/>
      <c r="AA30" s="380"/>
      <c r="AB30" s="380"/>
    </row>
    <row r="31" spans="1:28" ht="23.25" thickBot="1">
      <c r="A31" s="112">
        <v>45846</v>
      </c>
      <c r="B31" s="4" t="s">
        <v>576</v>
      </c>
      <c r="C31" s="108" t="s">
        <v>635</v>
      </c>
      <c r="D31" s="117" t="s">
        <v>23</v>
      </c>
      <c r="E31" s="4" t="s">
        <v>429</v>
      </c>
      <c r="F31" s="376">
        <v>103040</v>
      </c>
      <c r="G31" s="4" t="s">
        <v>637</v>
      </c>
      <c r="H31" s="381"/>
      <c r="I31" s="4"/>
      <c r="J31" s="375"/>
      <c r="K31" s="381"/>
      <c r="L31" s="375" t="s">
        <v>636</v>
      </c>
      <c r="M31" s="375"/>
      <c r="N31" s="4"/>
      <c r="O31" s="381"/>
      <c r="P31" s="375"/>
      <c r="Q31" s="381"/>
      <c r="R31" s="381"/>
      <c r="S31" s="381"/>
      <c r="T31" s="375"/>
      <c r="U31" s="375"/>
      <c r="V31" s="375"/>
      <c r="W31" s="381"/>
      <c r="X31" s="381"/>
      <c r="Y31" s="380"/>
      <c r="Z31" s="380"/>
      <c r="AA31" s="380"/>
      <c r="AB31" s="380"/>
    </row>
    <row r="32" spans="1:28" ht="34.5" thickBot="1">
      <c r="A32" s="112">
        <v>45828</v>
      </c>
      <c r="B32" s="4"/>
      <c r="C32" s="108" t="s">
        <v>638</v>
      </c>
      <c r="D32" s="117" t="s">
        <v>23</v>
      </c>
      <c r="E32" s="4" t="s">
        <v>24</v>
      </c>
      <c r="F32" s="376">
        <v>332100</v>
      </c>
      <c r="G32" s="4" t="s">
        <v>639</v>
      </c>
      <c r="H32" s="381"/>
      <c r="I32" s="4"/>
      <c r="J32" s="375" t="s">
        <v>89</v>
      </c>
      <c r="K32" s="381"/>
      <c r="L32" s="375"/>
      <c r="M32" s="375"/>
      <c r="N32" s="4"/>
      <c r="O32" s="381"/>
      <c r="P32" s="375"/>
      <c r="Q32" s="381"/>
      <c r="R32" s="381"/>
      <c r="S32" s="381"/>
      <c r="T32" s="375"/>
      <c r="U32" s="375"/>
      <c r="V32" s="375"/>
      <c r="W32" s="381"/>
      <c r="X32" s="381"/>
      <c r="Y32" s="380"/>
      <c r="Z32" s="380"/>
      <c r="AA32" s="380"/>
      <c r="AB32" s="380"/>
    </row>
    <row r="33" spans="1:28" ht="34.5" thickBot="1">
      <c r="A33" s="112">
        <v>45790</v>
      </c>
      <c r="B33" s="4" t="s">
        <v>576</v>
      </c>
      <c r="C33" s="108" t="s">
        <v>640</v>
      </c>
      <c r="D33" s="117" t="s">
        <v>23</v>
      </c>
      <c r="E33" s="4" t="s">
        <v>24</v>
      </c>
      <c r="F33" s="376">
        <v>95000</v>
      </c>
      <c r="G33" s="4" t="s">
        <v>642</v>
      </c>
      <c r="H33" s="381"/>
      <c r="I33" s="4"/>
      <c r="J33" s="375" t="s">
        <v>89</v>
      </c>
      <c r="K33" s="381"/>
      <c r="L33" s="375" t="s">
        <v>641</v>
      </c>
      <c r="M33" s="375"/>
      <c r="N33" s="4"/>
      <c r="O33" s="381"/>
      <c r="P33" s="375"/>
      <c r="Q33" s="381"/>
      <c r="R33" s="381"/>
      <c r="S33" s="381"/>
      <c r="T33" s="375"/>
      <c r="U33" s="375"/>
      <c r="V33" s="375"/>
      <c r="W33" s="381"/>
      <c r="X33" s="381"/>
      <c r="Y33" s="380"/>
      <c r="Z33" s="380"/>
      <c r="AA33" s="380"/>
      <c r="AB33" s="380"/>
    </row>
    <row r="34" spans="1:28" ht="34.5" thickBot="1">
      <c r="A34" s="112">
        <v>45887</v>
      </c>
      <c r="B34" s="4" t="s">
        <v>576</v>
      </c>
      <c r="C34" s="108" t="s">
        <v>589</v>
      </c>
      <c r="D34" s="117" t="s">
        <v>23</v>
      </c>
      <c r="E34" s="4" t="s">
        <v>24</v>
      </c>
      <c r="F34" s="376">
        <v>25000</v>
      </c>
      <c r="G34" s="4" t="s">
        <v>643</v>
      </c>
      <c r="H34" s="381"/>
      <c r="I34" s="4"/>
      <c r="J34" s="375" t="s">
        <v>594</v>
      </c>
      <c r="K34" s="381"/>
      <c r="L34" s="375" t="s">
        <v>599</v>
      </c>
      <c r="M34" s="375"/>
      <c r="N34" s="4"/>
      <c r="O34" s="381"/>
      <c r="P34" s="375"/>
      <c r="Q34" s="381"/>
      <c r="R34" s="381"/>
      <c r="S34" s="381"/>
      <c r="T34" s="375"/>
      <c r="U34" s="375"/>
      <c r="V34" s="375"/>
      <c r="W34" s="381"/>
      <c r="X34" s="381"/>
      <c r="Y34" s="380"/>
      <c r="Z34" s="380"/>
      <c r="AA34" s="380"/>
      <c r="AB34" s="380"/>
    </row>
    <row r="35" spans="1:28" ht="23.25" thickBot="1">
      <c r="A35" s="112">
        <v>45896</v>
      </c>
      <c r="B35" s="4"/>
      <c r="C35" s="108" t="s">
        <v>644</v>
      </c>
      <c r="D35" s="117" t="s">
        <v>23</v>
      </c>
      <c r="E35" s="4"/>
      <c r="F35" s="376">
        <v>100000</v>
      </c>
      <c r="G35" s="4"/>
      <c r="H35" s="381"/>
      <c r="I35" s="4"/>
      <c r="J35" s="375"/>
      <c r="K35" s="381"/>
      <c r="L35" s="375" t="s">
        <v>645</v>
      </c>
      <c r="M35" s="375"/>
      <c r="N35" s="4"/>
      <c r="O35" s="381"/>
      <c r="P35" s="375"/>
      <c r="Q35" s="381"/>
      <c r="R35" s="381"/>
      <c r="S35" s="381"/>
      <c r="T35" s="375"/>
      <c r="U35" s="375"/>
      <c r="V35" s="375"/>
      <c r="W35" s="381"/>
      <c r="X35" s="381"/>
      <c r="Y35" s="380"/>
      <c r="Z35" s="380"/>
      <c r="AA35" s="380"/>
      <c r="AB35" s="380"/>
    </row>
    <row r="36" spans="1:28" ht="23.25" thickBot="1">
      <c r="A36" s="112">
        <v>45925</v>
      </c>
      <c r="B36" s="4"/>
      <c r="C36" s="108" t="s">
        <v>646</v>
      </c>
      <c r="D36" s="117" t="s">
        <v>23</v>
      </c>
      <c r="E36" s="4"/>
      <c r="F36" s="376">
        <v>96000</v>
      </c>
      <c r="G36" s="4"/>
      <c r="H36" s="381"/>
      <c r="I36" s="4"/>
      <c r="J36" s="375"/>
      <c r="K36" s="381"/>
      <c r="L36" s="375"/>
      <c r="M36" s="375"/>
      <c r="N36" s="4"/>
      <c r="O36" s="381"/>
      <c r="P36" s="375"/>
      <c r="Q36" s="381"/>
      <c r="R36" s="381"/>
      <c r="S36" s="381"/>
      <c r="T36" s="375"/>
      <c r="U36" s="375"/>
      <c r="V36" s="375"/>
      <c r="W36" s="381"/>
      <c r="X36" s="381"/>
      <c r="Y36" s="380"/>
      <c r="Z36" s="380"/>
      <c r="AA36" s="380"/>
      <c r="AB36" s="380"/>
    </row>
    <row r="37" spans="1:28" ht="45.75" thickBot="1">
      <c r="A37" s="112">
        <v>45674</v>
      </c>
      <c r="B37" s="4" t="s">
        <v>650</v>
      </c>
      <c r="C37" s="388" t="s">
        <v>647</v>
      </c>
      <c r="D37" s="129" t="s">
        <v>51</v>
      </c>
      <c r="E37" s="380"/>
      <c r="F37" s="383">
        <v>3595000</v>
      </c>
      <c r="G37" s="375" t="s">
        <v>652</v>
      </c>
      <c r="H37" s="381"/>
      <c r="I37" s="381"/>
      <c r="J37" s="375" t="s">
        <v>648</v>
      </c>
      <c r="K37" s="381"/>
      <c r="L37" s="4" t="s">
        <v>649</v>
      </c>
      <c r="M37" s="378"/>
      <c r="N37" s="4"/>
      <c r="O37" s="381"/>
      <c r="P37" s="375"/>
      <c r="Q37" s="381"/>
      <c r="R37" s="385" t="s">
        <v>653</v>
      </c>
      <c r="S37" s="381"/>
      <c r="T37" s="372"/>
      <c r="U37" s="381"/>
      <c r="V37" s="381"/>
      <c r="W37" s="381"/>
      <c r="X37" s="381"/>
      <c r="Y37" s="380"/>
      <c r="Z37" s="380"/>
      <c r="AA37" s="380"/>
      <c r="AB37" s="380"/>
    </row>
    <row r="38" spans="1:28" ht="12" thickBot="1">
      <c r="A38" s="380"/>
      <c r="B38" s="380"/>
      <c r="C38" s="396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</row>
    <row r="39" spans="1:28" ht="12" thickBot="1">
      <c r="A39" s="380"/>
      <c r="B39" s="380"/>
      <c r="C39" s="396"/>
      <c r="D39" s="380"/>
      <c r="E39" s="380"/>
      <c r="F39" s="380"/>
      <c r="G39" s="380"/>
      <c r="H39" s="380"/>
      <c r="I39" s="380"/>
      <c r="J39" s="380"/>
      <c r="K39" s="380"/>
      <c r="L39" s="380"/>
      <c r="M39" s="380"/>
      <c r="N39" s="380"/>
      <c r="O39" s="380"/>
      <c r="P39" s="380"/>
      <c r="Q39" s="380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</row>
    <row r="40" spans="1:28" ht="12" thickBot="1">
      <c r="A40" s="380"/>
      <c r="B40" s="380"/>
      <c r="C40" s="396"/>
      <c r="D40" s="380"/>
      <c r="E40" s="380"/>
      <c r="F40" s="380"/>
      <c r="G40" s="380"/>
      <c r="H40" s="380"/>
      <c r="I40" s="380"/>
      <c r="J40" s="380"/>
      <c r="K40" s="380"/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</row>
    <row r="41" spans="1:28" ht="12" thickBot="1">
      <c r="A41" s="380"/>
      <c r="B41" s="380"/>
      <c r="C41" s="396"/>
      <c r="D41" s="380"/>
      <c r="E41" s="380"/>
      <c r="F41" s="380"/>
      <c r="G41" s="380"/>
      <c r="H41" s="380"/>
      <c r="I41" s="380"/>
      <c r="J41" s="380"/>
      <c r="K41" s="380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</row>
    <row r="42" spans="1:28" ht="45.75" thickBot="1">
      <c r="A42" s="391"/>
      <c r="B42" s="4" t="s">
        <v>655</v>
      </c>
      <c r="C42" s="13" t="s">
        <v>654</v>
      </c>
      <c r="D42" s="129" t="s">
        <v>51</v>
      </c>
      <c r="E42" s="380"/>
      <c r="F42" s="392">
        <v>4000140</v>
      </c>
      <c r="G42" s="391"/>
      <c r="H42" s="4" t="s">
        <v>56</v>
      </c>
      <c r="I42" s="380"/>
      <c r="J42" s="391"/>
      <c r="K42" s="391"/>
      <c r="L42" s="4" t="s">
        <v>656</v>
      </c>
      <c r="M42" s="391"/>
      <c r="N42" s="380"/>
      <c r="O42" s="380"/>
      <c r="P42" s="380"/>
      <c r="Q42" s="380"/>
      <c r="R42" s="380"/>
      <c r="S42" s="380"/>
      <c r="T42" s="380"/>
      <c r="U42" s="380"/>
      <c r="V42" s="380"/>
      <c r="W42" s="393">
        <v>45442</v>
      </c>
      <c r="X42" s="393">
        <v>45446</v>
      </c>
      <c r="Y42" s="391"/>
      <c r="Z42" s="391"/>
      <c r="AA42" s="391"/>
      <c r="AB42" s="391"/>
    </row>
    <row r="43" spans="1:28" ht="23.25" thickBot="1">
      <c r="A43" s="393">
        <v>45532</v>
      </c>
      <c r="B43" s="4" t="s">
        <v>658</v>
      </c>
      <c r="C43" s="7" t="s">
        <v>657</v>
      </c>
      <c r="D43" s="129" t="s">
        <v>51</v>
      </c>
      <c r="E43" s="380"/>
      <c r="F43" s="392">
        <v>12995000</v>
      </c>
      <c r="G43" s="391" t="s">
        <v>661</v>
      </c>
      <c r="H43" s="4" t="s">
        <v>659</v>
      </c>
      <c r="I43" s="380"/>
      <c r="J43" s="391"/>
      <c r="K43" s="391"/>
      <c r="L43" s="4" t="s">
        <v>660</v>
      </c>
      <c r="M43" s="391"/>
      <c r="N43" s="380"/>
      <c r="O43" s="380"/>
      <c r="P43" s="380"/>
      <c r="Q43" s="380"/>
      <c r="R43" s="380"/>
      <c r="S43" s="380"/>
      <c r="T43" s="380"/>
      <c r="U43" s="380"/>
      <c r="V43" s="380"/>
      <c r="W43" s="397" t="s">
        <v>651</v>
      </c>
      <c r="X43" s="393">
        <v>45537</v>
      </c>
      <c r="Y43" s="391"/>
      <c r="Z43" s="391"/>
      <c r="AA43" s="393"/>
      <c r="AB43" s="391"/>
    </row>
    <row r="44" spans="1:28" ht="34.5" thickBot="1">
      <c r="A44" s="398" t="s">
        <v>667</v>
      </c>
      <c r="B44" s="4" t="s">
        <v>663</v>
      </c>
      <c r="C44" s="13" t="s">
        <v>662</v>
      </c>
      <c r="D44" s="129" t="s">
        <v>51</v>
      </c>
      <c r="E44" s="380"/>
      <c r="F44" s="383">
        <v>2403000</v>
      </c>
      <c r="G44" s="8" t="s">
        <v>666</v>
      </c>
      <c r="H44" s="4" t="s">
        <v>56</v>
      </c>
      <c r="I44" s="380"/>
      <c r="J44" s="4"/>
      <c r="K44" s="4"/>
      <c r="L44" s="4" t="s">
        <v>664</v>
      </c>
      <c r="M44" s="4"/>
      <c r="N44" s="380"/>
      <c r="O44" s="380"/>
      <c r="P44" s="380"/>
      <c r="Q44" s="380"/>
      <c r="R44" s="380"/>
      <c r="S44" s="380"/>
      <c r="T44" s="380"/>
      <c r="U44" s="380"/>
      <c r="V44" s="380"/>
      <c r="W44" s="112">
        <v>45427</v>
      </c>
      <c r="X44" s="112">
        <v>45439</v>
      </c>
      <c r="Y44" s="390" t="s">
        <v>665</v>
      </c>
      <c r="Z44" s="8"/>
      <c r="AA44" s="398"/>
      <c r="AB44" s="399"/>
    </row>
    <row r="45" spans="1:28" ht="34.5" thickBot="1">
      <c r="A45" s="400" t="s">
        <v>673</v>
      </c>
      <c r="B45" s="4" t="s">
        <v>669</v>
      </c>
      <c r="C45" s="7" t="s">
        <v>668</v>
      </c>
      <c r="D45" s="129" t="s">
        <v>51</v>
      </c>
      <c r="E45" s="380"/>
      <c r="F45" s="394">
        <v>11123000</v>
      </c>
      <c r="G45" s="8" t="s">
        <v>672</v>
      </c>
      <c r="H45" s="4" t="s">
        <v>659</v>
      </c>
      <c r="I45" s="380"/>
      <c r="J45" s="391"/>
      <c r="K45" s="391"/>
      <c r="L45" s="4" t="s">
        <v>670</v>
      </c>
      <c r="M45" s="391"/>
      <c r="N45" s="380"/>
      <c r="O45" s="380"/>
      <c r="P45" s="380"/>
      <c r="Q45" s="380"/>
      <c r="R45" s="380"/>
      <c r="S45" s="380"/>
      <c r="T45" s="380"/>
      <c r="U45" s="380"/>
      <c r="V45" s="380"/>
      <c r="W45" s="395">
        <v>45496</v>
      </c>
      <c r="X45" s="395"/>
      <c r="Y45" s="391" t="s">
        <v>671</v>
      </c>
      <c r="Z45" s="8"/>
      <c r="AA45" s="400"/>
      <c r="AB45" s="391"/>
    </row>
    <row r="46" spans="1:28" ht="34.5" thickBot="1">
      <c r="A46" s="386">
        <v>45308</v>
      </c>
      <c r="B46" s="372" t="s">
        <v>675</v>
      </c>
      <c r="C46" s="4" t="s">
        <v>674</v>
      </c>
      <c r="D46" s="129" t="s">
        <v>51</v>
      </c>
      <c r="E46" s="380"/>
      <c r="F46" s="394">
        <v>1028075</v>
      </c>
      <c r="G46" s="391" t="s">
        <v>678</v>
      </c>
      <c r="H46" s="4" t="s">
        <v>676</v>
      </c>
      <c r="I46" s="380"/>
      <c r="J46" s="391"/>
      <c r="K46" s="391"/>
      <c r="L46" s="4" t="s">
        <v>677</v>
      </c>
      <c r="M46" s="391"/>
      <c r="N46" s="380"/>
      <c r="O46" s="380"/>
      <c r="P46" s="380"/>
      <c r="Q46" s="380"/>
      <c r="R46" s="380"/>
      <c r="S46" s="380"/>
      <c r="T46" s="380"/>
      <c r="U46" s="380"/>
      <c r="V46" s="380"/>
      <c r="W46" s="395">
        <v>45288</v>
      </c>
      <c r="X46" s="395">
        <v>45309</v>
      </c>
      <c r="Y46" s="391"/>
      <c r="Z46" s="391"/>
      <c r="AA46" s="395"/>
      <c r="AB46" s="391"/>
    </row>
    <row r="47" spans="1:28" ht="23.25" thickBot="1">
      <c r="A47" s="386">
        <v>45274</v>
      </c>
      <c r="B47" s="4" t="s">
        <v>680</v>
      </c>
      <c r="C47" s="13" t="s">
        <v>679</v>
      </c>
      <c r="D47" s="129" t="s">
        <v>51</v>
      </c>
      <c r="E47" s="380"/>
      <c r="F47" s="392">
        <v>2235000</v>
      </c>
      <c r="G47" s="391" t="s">
        <v>683</v>
      </c>
      <c r="H47" s="4" t="s">
        <v>56</v>
      </c>
      <c r="I47" s="380"/>
      <c r="J47" s="391"/>
      <c r="K47" s="391"/>
      <c r="L47" s="4" t="s">
        <v>681</v>
      </c>
      <c r="M47" s="391"/>
      <c r="N47" s="380"/>
      <c r="O47" s="380"/>
      <c r="P47" s="380"/>
      <c r="Q47" s="380"/>
      <c r="R47" s="380"/>
      <c r="S47" s="380"/>
      <c r="T47" s="380"/>
      <c r="U47" s="380"/>
      <c r="V47" s="380"/>
      <c r="W47" s="393">
        <v>45273</v>
      </c>
      <c r="X47" s="393">
        <v>45274</v>
      </c>
      <c r="Y47" s="374" t="s">
        <v>682</v>
      </c>
      <c r="Z47" s="391"/>
      <c r="AA47" s="395"/>
      <c r="AB47" s="391"/>
    </row>
  </sheetData>
  <conditionalFormatting sqref="D1 D36:D37">
    <cfRule type="expression" priority="31">
      <formula>"private"</formula>
    </cfRule>
  </conditionalFormatting>
  <conditionalFormatting sqref="D35">
    <cfRule type="expression" priority="29">
      <formula>"private"</formula>
    </cfRule>
  </conditionalFormatting>
  <conditionalFormatting sqref="D34">
    <cfRule type="expression" priority="28">
      <formula>"private"</formula>
    </cfRule>
  </conditionalFormatting>
  <conditionalFormatting sqref="D33">
    <cfRule type="expression" priority="27">
      <formula>"private"</formula>
    </cfRule>
  </conditionalFormatting>
  <conditionalFormatting sqref="D32">
    <cfRule type="expression" priority="26">
      <formula>"private"</formula>
    </cfRule>
  </conditionalFormatting>
  <conditionalFormatting sqref="D31">
    <cfRule type="expression" priority="25">
      <formula>"private"</formula>
    </cfRule>
  </conditionalFormatting>
  <conditionalFormatting sqref="D30">
    <cfRule type="expression" priority="24">
      <formula>"private"</formula>
    </cfRule>
  </conditionalFormatting>
  <conditionalFormatting sqref="D29">
    <cfRule type="expression" priority="23">
      <formula>"private"</formula>
    </cfRule>
  </conditionalFormatting>
  <conditionalFormatting sqref="D28">
    <cfRule type="expression" priority="22">
      <formula>"private"</formula>
    </cfRule>
  </conditionalFormatting>
  <conditionalFormatting sqref="D27">
    <cfRule type="expression" priority="21">
      <formula>"private"</formula>
    </cfRule>
  </conditionalFormatting>
  <conditionalFormatting sqref="D26">
    <cfRule type="expression" priority="20">
      <formula>"private"</formula>
    </cfRule>
  </conditionalFormatting>
  <conditionalFormatting sqref="D25">
    <cfRule type="expression" priority="19">
      <formula>"private"</formula>
    </cfRule>
  </conditionalFormatting>
  <conditionalFormatting sqref="D24">
    <cfRule type="expression" priority="18">
      <formula>"private"</formula>
    </cfRule>
  </conditionalFormatting>
  <conditionalFormatting sqref="D23">
    <cfRule type="expression" priority="17">
      <formula>"private"</formula>
    </cfRule>
  </conditionalFormatting>
  <conditionalFormatting sqref="D22">
    <cfRule type="expression" priority="16">
      <formula>"private"</formula>
    </cfRule>
  </conditionalFormatting>
  <conditionalFormatting sqref="D8">
    <cfRule type="expression" priority="2">
      <formula>"private"</formula>
    </cfRule>
  </conditionalFormatting>
  <conditionalFormatting sqref="D21">
    <cfRule type="expression" priority="15">
      <formula>"private"</formula>
    </cfRule>
  </conditionalFormatting>
  <conditionalFormatting sqref="D20">
    <cfRule type="expression" priority="14">
      <formula>"private"</formula>
    </cfRule>
  </conditionalFormatting>
  <conditionalFormatting sqref="D19">
    <cfRule type="expression" priority="13">
      <formula>"private"</formula>
    </cfRule>
  </conditionalFormatting>
  <conditionalFormatting sqref="D18">
    <cfRule type="expression" priority="12">
      <formula>"private"</formula>
    </cfRule>
  </conditionalFormatting>
  <conditionalFormatting sqref="D17">
    <cfRule type="expression" priority="11">
      <formula>"private"</formula>
    </cfRule>
  </conditionalFormatting>
  <conditionalFormatting sqref="D16">
    <cfRule type="expression" priority="10">
      <formula>"private"</formula>
    </cfRule>
  </conditionalFormatting>
  <conditionalFormatting sqref="D15">
    <cfRule type="expression" priority="9">
      <formula>"private"</formula>
    </cfRule>
  </conditionalFormatting>
  <conditionalFormatting sqref="D14">
    <cfRule type="expression" priority="8">
      <formula>"private"</formula>
    </cfRule>
  </conditionalFormatting>
  <conditionalFormatting sqref="D13">
    <cfRule type="expression" priority="7">
      <formula>"private"</formula>
    </cfRule>
  </conditionalFormatting>
  <conditionalFormatting sqref="D12">
    <cfRule type="expression" priority="6">
      <formula>"private"</formula>
    </cfRule>
  </conditionalFormatting>
  <conditionalFormatting sqref="D11">
    <cfRule type="expression" priority="5">
      <formula>"private"</formula>
    </cfRule>
  </conditionalFormatting>
  <conditionalFormatting sqref="D10">
    <cfRule type="expression" priority="4">
      <formula>"private"</formula>
    </cfRule>
  </conditionalFormatting>
  <conditionalFormatting sqref="D9">
    <cfRule type="expression" priority="3">
      <formula>"private"</formula>
    </cfRule>
  </conditionalFormatting>
  <conditionalFormatting sqref="D42:D47">
    <cfRule type="expression" priority="1">
      <formula>"private"</formula>
    </cfRule>
  </conditionalFormatting>
  <hyperlinks>
    <hyperlink ref="M23" r:id="rId1" xr:uid="{660235E3-2872-4A8B-B7EB-22D184CD1D44}"/>
  </hyperlinks>
  <pageMargins left="0.7" right="0.7" top="0.75" bottom="0.75" header="0.3" footer="0.3"/>
  <pageSetup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743F-38B8-465E-A839-15A9E82551F1}">
  <dimension ref="A1:AB117"/>
  <sheetViews>
    <sheetView workbookViewId="0">
      <selection activeCell="E23" sqref="E23"/>
    </sheetView>
  </sheetViews>
  <sheetFormatPr defaultRowHeight="11.25"/>
  <cols>
    <col min="1" max="1" width="10.140625" style="403" bestFit="1" customWidth="1"/>
    <col min="2" max="2" width="9.140625" style="403"/>
    <col min="3" max="3" width="28.85546875" style="403" customWidth="1"/>
    <col min="4" max="4" width="9.140625" style="403"/>
    <col min="5" max="5" width="11.85546875" style="403" customWidth="1"/>
    <col min="6" max="7" width="10.140625" style="403" bestFit="1" customWidth="1"/>
    <col min="8" max="8" width="9.28515625" style="403" bestFit="1" customWidth="1"/>
    <col min="9" max="9" width="9.140625" style="403"/>
    <col min="10" max="10" width="15.5703125" style="403" customWidth="1"/>
    <col min="11" max="11" width="13.140625" style="403" bestFit="1" customWidth="1"/>
    <col min="12" max="16384" width="9.140625" style="403"/>
  </cols>
  <sheetData>
    <row r="1" spans="1:28" s="116" customFormat="1" ht="36" customHeight="1" thickBot="1">
      <c r="A1" s="4" t="s">
        <v>3</v>
      </c>
      <c r="B1" s="4" t="s">
        <v>21</v>
      </c>
      <c r="C1" s="108" t="s">
        <v>4</v>
      </c>
      <c r="D1" s="4" t="s">
        <v>5</v>
      </c>
      <c r="E1" s="4" t="s">
        <v>6</v>
      </c>
      <c r="F1" s="145" t="s">
        <v>7</v>
      </c>
      <c r="G1" s="4" t="s">
        <v>72</v>
      </c>
      <c r="H1" s="4" t="s">
        <v>90</v>
      </c>
      <c r="I1" s="4" t="s">
        <v>8</v>
      </c>
      <c r="J1" s="4" t="s">
        <v>326</v>
      </c>
      <c r="K1" s="13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0</v>
      </c>
      <c r="U1" s="4" t="s">
        <v>13</v>
      </c>
      <c r="V1" s="4" t="s">
        <v>7</v>
      </c>
      <c r="W1" s="4" t="s">
        <v>18</v>
      </c>
      <c r="X1" s="4" t="s">
        <v>19</v>
      </c>
      <c r="Y1" s="4" t="s">
        <v>20</v>
      </c>
      <c r="Z1" s="7"/>
      <c r="AA1" s="7"/>
      <c r="AB1" s="7"/>
    </row>
    <row r="2" spans="1:28" ht="12" thickBot="1"/>
    <row r="3" spans="1:28" ht="12" thickBot="1">
      <c r="A3" s="404"/>
      <c r="B3" s="405"/>
      <c r="C3" s="405"/>
      <c r="D3" s="405"/>
      <c r="E3" s="405"/>
      <c r="F3" s="405"/>
      <c r="G3" s="405"/>
      <c r="H3" s="405"/>
      <c r="I3" s="405"/>
      <c r="J3" s="405"/>
    </row>
    <row r="4" spans="1:28" ht="12" thickBot="1">
      <c r="A4" s="406"/>
      <c r="B4" s="406"/>
      <c r="C4" s="406"/>
      <c r="D4" s="406"/>
      <c r="E4" s="406"/>
      <c r="F4" s="406"/>
      <c r="G4" s="406"/>
      <c r="H4" s="406"/>
      <c r="I4" s="406"/>
      <c r="J4" s="406"/>
    </row>
    <row r="5" spans="1:28" ht="15.75" customHeight="1" thickBot="1">
      <c r="A5" s="407">
        <v>45678</v>
      </c>
      <c r="B5" s="403" t="s">
        <v>173</v>
      </c>
      <c r="C5" s="408" t="s">
        <v>327</v>
      </c>
      <c r="D5" s="117" t="s">
        <v>23</v>
      </c>
      <c r="E5" s="4" t="s">
        <v>24</v>
      </c>
      <c r="F5" s="409">
        <v>36000</v>
      </c>
      <c r="G5" s="410" t="s">
        <v>685</v>
      </c>
      <c r="H5" s="411"/>
      <c r="I5" s="412"/>
      <c r="J5" s="412"/>
      <c r="K5" s="413"/>
    </row>
    <row r="6" spans="1:28" ht="15.75" customHeight="1" thickBot="1">
      <c r="A6" s="407">
        <v>45670</v>
      </c>
      <c r="B6" s="403" t="s">
        <v>173</v>
      </c>
      <c r="C6" s="408" t="s">
        <v>686</v>
      </c>
      <c r="D6" s="117" t="s">
        <v>23</v>
      </c>
      <c r="E6" s="4" t="s">
        <v>24</v>
      </c>
      <c r="F6" s="409">
        <v>64100</v>
      </c>
      <c r="G6" s="410">
        <v>250101</v>
      </c>
      <c r="H6" s="411"/>
      <c r="I6" s="412"/>
      <c r="J6" s="412"/>
      <c r="K6" s="413"/>
    </row>
    <row r="7" spans="1:28" ht="30.75" customHeight="1" thickBot="1">
      <c r="A7" s="407">
        <v>45663</v>
      </c>
      <c r="B7" s="403" t="s">
        <v>173</v>
      </c>
      <c r="C7" s="414" t="s">
        <v>687</v>
      </c>
      <c r="D7" s="117" t="s">
        <v>23</v>
      </c>
      <c r="E7" s="4" t="s">
        <v>24</v>
      </c>
      <c r="F7" s="409">
        <v>65700</v>
      </c>
      <c r="G7" s="410" t="s">
        <v>688</v>
      </c>
      <c r="H7" s="415"/>
      <c r="I7" s="406"/>
      <c r="J7" s="406"/>
      <c r="K7" s="416"/>
    </row>
    <row r="8" spans="1:28" ht="29.25" customHeight="1" thickBot="1">
      <c r="A8" s="407">
        <v>45673</v>
      </c>
      <c r="B8" s="403" t="s">
        <v>173</v>
      </c>
      <c r="C8" s="414" t="s">
        <v>687</v>
      </c>
      <c r="D8" s="117" t="s">
        <v>23</v>
      </c>
      <c r="E8" s="4" t="s">
        <v>24</v>
      </c>
      <c r="F8" s="409">
        <v>14000</v>
      </c>
      <c r="G8" s="410" t="s">
        <v>689</v>
      </c>
      <c r="H8" s="415"/>
      <c r="I8" s="406"/>
      <c r="J8" s="406"/>
      <c r="K8" s="416"/>
    </row>
    <row r="9" spans="1:28" ht="15.75" customHeight="1" thickBot="1">
      <c r="A9" s="407">
        <v>45664</v>
      </c>
      <c r="B9" s="403" t="s">
        <v>173</v>
      </c>
      <c r="C9" s="408" t="s">
        <v>690</v>
      </c>
      <c r="D9" s="117" t="s">
        <v>23</v>
      </c>
      <c r="E9" s="4" t="s">
        <v>24</v>
      </c>
      <c r="F9" s="409">
        <v>116700</v>
      </c>
      <c r="G9" s="410" t="s">
        <v>691</v>
      </c>
      <c r="H9" s="411"/>
      <c r="I9" s="412"/>
      <c r="J9" s="412"/>
      <c r="K9" s="413"/>
    </row>
    <row r="10" spans="1:28" ht="25.5" customHeight="1" thickBot="1">
      <c r="A10" s="407">
        <v>45583</v>
      </c>
      <c r="B10" s="403" t="s">
        <v>173</v>
      </c>
      <c r="C10" s="414" t="s">
        <v>692</v>
      </c>
      <c r="D10" s="117" t="s">
        <v>23</v>
      </c>
      <c r="E10" s="4" t="s">
        <v>24</v>
      </c>
      <c r="F10" s="409">
        <v>41750</v>
      </c>
      <c r="G10" s="410">
        <v>36810</v>
      </c>
      <c r="H10" s="415"/>
      <c r="I10" s="406"/>
      <c r="J10" s="406"/>
      <c r="K10" s="416"/>
    </row>
    <row r="11" spans="1:28" ht="33" customHeight="1" thickBot="1">
      <c r="A11" s="407">
        <v>45674</v>
      </c>
      <c r="B11" s="403" t="s">
        <v>173</v>
      </c>
      <c r="C11" s="408" t="s">
        <v>693</v>
      </c>
      <c r="D11" s="117" t="s">
        <v>23</v>
      </c>
      <c r="E11" s="17" t="s">
        <v>38</v>
      </c>
      <c r="F11" s="409">
        <v>2000</v>
      </c>
      <c r="G11" s="410">
        <v>4311</v>
      </c>
      <c r="H11" s="412"/>
      <c r="I11" s="412"/>
      <c r="J11" s="412"/>
      <c r="K11" s="413"/>
    </row>
    <row r="12" spans="1:28" ht="28.5" customHeight="1" thickBot="1">
      <c r="A12" s="407">
        <v>45665</v>
      </c>
      <c r="B12" s="403" t="s">
        <v>173</v>
      </c>
      <c r="C12" s="408" t="s">
        <v>694</v>
      </c>
      <c r="D12" s="117" t="s">
        <v>23</v>
      </c>
      <c r="E12" s="17" t="s">
        <v>38</v>
      </c>
      <c r="F12" s="409">
        <v>5000</v>
      </c>
      <c r="G12" s="410" t="s">
        <v>695</v>
      </c>
      <c r="H12" s="411"/>
      <c r="I12" s="411"/>
      <c r="J12" s="411"/>
      <c r="K12" s="417"/>
    </row>
    <row r="13" spans="1:28" ht="12" thickBot="1">
      <c r="A13" s="407">
        <v>45611</v>
      </c>
      <c r="B13" s="408" t="s">
        <v>101</v>
      </c>
      <c r="C13" s="429" t="s">
        <v>696</v>
      </c>
      <c r="D13" s="117" t="s">
        <v>23</v>
      </c>
      <c r="E13" s="4" t="s">
        <v>24</v>
      </c>
      <c r="F13" s="419">
        <v>430000</v>
      </c>
      <c r="G13" s="430" t="s">
        <v>697</v>
      </c>
      <c r="H13" s="417"/>
      <c r="I13" s="413"/>
      <c r="J13" s="405"/>
      <c r="K13" s="405"/>
    </row>
    <row r="14" spans="1:28" ht="12" thickBot="1">
      <c r="A14" s="407">
        <v>45643</v>
      </c>
      <c r="B14" s="408"/>
      <c r="C14" s="429" t="s">
        <v>698</v>
      </c>
      <c r="D14" s="117" t="s">
        <v>23</v>
      </c>
      <c r="E14" s="4" t="s">
        <v>24</v>
      </c>
      <c r="F14" s="419">
        <v>414000</v>
      </c>
      <c r="G14" s="430">
        <v>2401279</v>
      </c>
      <c r="H14" s="417"/>
      <c r="I14" s="413"/>
      <c r="J14" s="405"/>
      <c r="K14" s="405"/>
    </row>
    <row r="15" spans="1:28" ht="12" customHeight="1" thickBot="1">
      <c r="A15" s="407">
        <v>45679</v>
      </c>
      <c r="B15" s="408"/>
      <c r="C15" s="429" t="s">
        <v>699</v>
      </c>
      <c r="D15" s="117" t="s">
        <v>23</v>
      </c>
      <c r="E15" s="4" t="s">
        <v>24</v>
      </c>
      <c r="F15" s="419">
        <v>115000</v>
      </c>
      <c r="G15" s="430" t="s">
        <v>700</v>
      </c>
      <c r="H15" s="417"/>
      <c r="I15" s="413"/>
      <c r="J15" s="405"/>
      <c r="K15" s="405"/>
    </row>
    <row r="16" spans="1:28" ht="12" thickBot="1">
      <c r="A16" s="407">
        <v>45673</v>
      </c>
      <c r="B16" s="408"/>
      <c r="C16" s="429" t="s">
        <v>701</v>
      </c>
      <c r="D16" s="117" t="s">
        <v>23</v>
      </c>
      <c r="E16" s="4" t="s">
        <v>24</v>
      </c>
      <c r="F16" s="419">
        <v>72000</v>
      </c>
      <c r="G16" s="430">
        <v>90427</v>
      </c>
      <c r="H16" s="417"/>
      <c r="I16" s="413"/>
      <c r="J16" s="405"/>
      <c r="K16" s="405"/>
    </row>
    <row r="17" spans="1:11" ht="12" customHeight="1" thickBot="1">
      <c r="A17" s="407">
        <v>45670</v>
      </c>
      <c r="B17" s="408"/>
      <c r="C17" s="429" t="s">
        <v>702</v>
      </c>
      <c r="D17" s="117" t="s">
        <v>23</v>
      </c>
      <c r="E17" s="4" t="s">
        <v>24</v>
      </c>
      <c r="F17" s="419">
        <v>1500</v>
      </c>
      <c r="G17" s="430" t="s">
        <v>703</v>
      </c>
      <c r="H17" s="417"/>
      <c r="I17" s="413"/>
      <c r="J17" s="405"/>
      <c r="K17" s="405"/>
    </row>
    <row r="18" spans="1:11" ht="12" customHeight="1" thickBot="1">
      <c r="A18" s="407">
        <v>45678</v>
      </c>
      <c r="B18" s="408"/>
      <c r="C18" s="429" t="s">
        <v>704</v>
      </c>
      <c r="D18" s="117" t="s">
        <v>23</v>
      </c>
      <c r="E18" s="4" t="s">
        <v>24</v>
      </c>
      <c r="F18" s="419">
        <v>24000</v>
      </c>
      <c r="G18" s="430" t="s">
        <v>705</v>
      </c>
      <c r="H18" s="417"/>
      <c r="I18" s="413"/>
      <c r="J18" s="405"/>
      <c r="K18" s="405"/>
    </row>
    <row r="19" spans="1:11" ht="12" thickBot="1">
      <c r="A19" s="418"/>
      <c r="B19" s="408"/>
      <c r="C19" s="412"/>
      <c r="D19" s="412"/>
      <c r="E19" s="412"/>
      <c r="F19" s="413"/>
      <c r="G19" s="416"/>
      <c r="H19" s="428"/>
      <c r="I19" s="413"/>
      <c r="J19" s="405"/>
      <c r="K19" s="405"/>
    </row>
    <row r="20" spans="1:11" ht="12" thickBot="1">
      <c r="A20" s="418"/>
      <c r="B20" s="408"/>
      <c r="C20" s="412"/>
      <c r="D20" s="412"/>
      <c r="E20" s="412"/>
      <c r="F20" s="413"/>
      <c r="G20" s="416"/>
      <c r="H20" s="428"/>
      <c r="I20" s="413"/>
      <c r="J20" s="405"/>
      <c r="K20" s="405"/>
    </row>
    <row r="21" spans="1:11" ht="12" thickBot="1">
      <c r="A21" s="418"/>
      <c r="B21" s="408"/>
      <c r="C21" s="412"/>
      <c r="D21" s="412"/>
      <c r="E21" s="412"/>
      <c r="F21" s="413"/>
      <c r="G21" s="416"/>
      <c r="H21" s="428"/>
      <c r="I21" s="413"/>
      <c r="J21" s="405"/>
      <c r="K21" s="405"/>
    </row>
    <row r="22" spans="1:11" ht="12" thickBot="1">
      <c r="A22" s="418"/>
      <c r="B22" s="408"/>
      <c r="C22" s="412"/>
      <c r="D22" s="412"/>
      <c r="E22" s="412"/>
      <c r="F22" s="413"/>
      <c r="G22" s="416"/>
      <c r="H22" s="428"/>
      <c r="I22" s="413"/>
      <c r="J22" s="405"/>
      <c r="K22" s="405"/>
    </row>
    <row r="23" spans="1:11" ht="12" thickBot="1">
      <c r="D23" s="411"/>
      <c r="E23" s="411"/>
      <c r="F23" s="417"/>
      <c r="J23" s="405"/>
      <c r="K23" s="405"/>
    </row>
    <row r="24" spans="1:11" ht="12" customHeight="1" thickBot="1">
      <c r="D24" s="411"/>
      <c r="E24" s="411"/>
      <c r="F24" s="417"/>
      <c r="J24" s="405"/>
      <c r="K24" s="405"/>
    </row>
    <row r="25" spans="1:11" ht="12" customHeight="1" thickBot="1">
      <c r="D25" s="411"/>
      <c r="E25" s="411"/>
      <c r="F25" s="417"/>
      <c r="J25" s="405"/>
      <c r="K25" s="405"/>
    </row>
    <row r="26" spans="1:11" ht="12" customHeight="1" thickBot="1">
      <c r="D26" s="411"/>
      <c r="E26" s="411"/>
      <c r="F26" s="417"/>
      <c r="J26" s="405"/>
      <c r="K26" s="405"/>
    </row>
    <row r="27" spans="1:11" ht="12" customHeight="1" thickBot="1">
      <c r="D27" s="411"/>
      <c r="E27" s="411"/>
      <c r="F27" s="417"/>
      <c r="J27" s="405"/>
      <c r="K27" s="405"/>
    </row>
    <row r="28" spans="1:11" ht="12" customHeight="1" thickBot="1">
      <c r="D28" s="411"/>
      <c r="E28" s="411"/>
      <c r="F28" s="417"/>
      <c r="J28" s="401">
        <v>1056500</v>
      </c>
      <c r="K28" s="405"/>
    </row>
    <row r="29" spans="1:11" ht="12" thickBot="1">
      <c r="A29" s="418"/>
      <c r="B29" s="429"/>
      <c r="C29" s="411"/>
      <c r="D29" s="411"/>
      <c r="E29" s="411"/>
      <c r="F29" s="417"/>
      <c r="G29" s="416"/>
      <c r="H29" s="564"/>
      <c r="I29" s="565"/>
      <c r="J29" s="405"/>
      <c r="K29" s="405"/>
    </row>
    <row r="30" spans="1:11" ht="12" thickBot="1">
      <c r="A30" s="418"/>
      <c r="B30" s="429" t="s">
        <v>706</v>
      </c>
      <c r="C30" s="411"/>
      <c r="D30" s="411"/>
      <c r="E30" s="411"/>
      <c r="F30" s="417"/>
      <c r="G30" s="416"/>
      <c r="H30" s="564"/>
      <c r="I30" s="565"/>
      <c r="J30" s="405"/>
      <c r="K30" s="405"/>
    </row>
    <row r="31" spans="1:11" ht="12" customHeight="1" thickBot="1">
      <c r="A31" s="407">
        <v>45685</v>
      </c>
      <c r="B31" s="429" t="s">
        <v>707</v>
      </c>
      <c r="C31" s="411"/>
      <c r="D31" s="411"/>
      <c r="E31" s="411"/>
      <c r="F31" s="417"/>
      <c r="G31" s="419">
        <v>36000</v>
      </c>
      <c r="H31" s="550" t="s">
        <v>708</v>
      </c>
      <c r="I31" s="551"/>
      <c r="J31" s="405"/>
      <c r="K31" s="405"/>
    </row>
    <row r="32" spans="1:11" ht="12" customHeight="1" thickBot="1">
      <c r="A32" s="407">
        <v>45687</v>
      </c>
      <c r="B32" s="429" t="s">
        <v>709</v>
      </c>
      <c r="C32" s="411"/>
      <c r="D32" s="411"/>
      <c r="E32" s="411"/>
      <c r="F32" s="417"/>
      <c r="G32" s="419">
        <v>4500</v>
      </c>
      <c r="H32" s="550" t="s">
        <v>710</v>
      </c>
      <c r="I32" s="551"/>
      <c r="J32" s="405"/>
      <c r="K32" s="405"/>
    </row>
    <row r="33" spans="1:11" ht="12" customHeight="1" thickBot="1">
      <c r="A33" s="407">
        <v>45671</v>
      </c>
      <c r="B33" s="429" t="s">
        <v>709</v>
      </c>
      <c r="C33" s="411"/>
      <c r="D33" s="411"/>
      <c r="E33" s="411"/>
      <c r="F33" s="417"/>
      <c r="G33" s="419">
        <v>31000</v>
      </c>
      <c r="H33" s="550" t="s">
        <v>711</v>
      </c>
      <c r="I33" s="551"/>
      <c r="J33" s="405"/>
      <c r="K33" s="405"/>
    </row>
    <row r="34" spans="1:11" ht="12" customHeight="1" thickBot="1">
      <c r="A34" s="407">
        <v>45665</v>
      </c>
      <c r="B34" s="429" t="s">
        <v>712</v>
      </c>
      <c r="C34" s="411"/>
      <c r="D34" s="411"/>
      <c r="E34" s="411"/>
      <c r="F34" s="417"/>
      <c r="G34" s="419">
        <v>6500</v>
      </c>
      <c r="H34" s="550" t="s">
        <v>713</v>
      </c>
      <c r="I34" s="551"/>
      <c r="J34" s="405"/>
      <c r="K34" s="405"/>
    </row>
    <row r="35" spans="1:11" ht="12" customHeight="1" thickBot="1">
      <c r="A35" s="407">
        <v>45678</v>
      </c>
      <c r="B35" s="429" t="s">
        <v>714</v>
      </c>
      <c r="C35" s="411"/>
      <c r="D35" s="411"/>
      <c r="E35" s="411"/>
      <c r="F35" s="417"/>
      <c r="G35" s="419">
        <v>29000</v>
      </c>
      <c r="H35" s="420" t="s">
        <v>715</v>
      </c>
      <c r="I35" s="416"/>
      <c r="J35" s="405"/>
      <c r="K35" s="405"/>
    </row>
    <row r="36" spans="1:11" ht="12" customHeight="1" thickBot="1">
      <c r="A36" s="407">
        <v>45668</v>
      </c>
      <c r="B36" s="429" t="s">
        <v>716</v>
      </c>
      <c r="C36" s="411"/>
      <c r="D36" s="411"/>
      <c r="E36" s="411"/>
      <c r="F36" s="417"/>
      <c r="G36" s="419">
        <v>4500</v>
      </c>
      <c r="H36" s="421">
        <v>26696</v>
      </c>
      <c r="I36" s="416"/>
      <c r="J36" s="405"/>
      <c r="K36" s="405"/>
    </row>
    <row r="37" spans="1:11" ht="12" thickBot="1">
      <c r="A37" s="407">
        <v>45993</v>
      </c>
      <c r="B37" s="429" t="s">
        <v>717</v>
      </c>
      <c r="C37" s="411"/>
      <c r="D37" s="411"/>
      <c r="E37" s="411"/>
      <c r="F37" s="417"/>
      <c r="G37" s="419">
        <v>13125</v>
      </c>
      <c r="H37" s="550" t="s">
        <v>718</v>
      </c>
      <c r="I37" s="551"/>
      <c r="J37" s="405"/>
      <c r="K37" s="405"/>
    </row>
    <row r="38" spans="1:11" ht="25.5" customHeight="1" thickBot="1">
      <c r="A38" s="407">
        <v>45665</v>
      </c>
      <c r="B38" s="429" t="s">
        <v>719</v>
      </c>
      <c r="C38" s="411"/>
      <c r="D38" s="411"/>
      <c r="E38" s="411"/>
      <c r="F38" s="417"/>
      <c r="G38" s="419">
        <v>15000</v>
      </c>
      <c r="H38" s="550" t="s">
        <v>720</v>
      </c>
      <c r="I38" s="551"/>
      <c r="J38" s="405"/>
      <c r="K38" s="405"/>
    </row>
    <row r="39" spans="1:11" ht="12" customHeight="1" thickBot="1">
      <c r="A39" s="407">
        <v>45661</v>
      </c>
      <c r="B39" s="429" t="s">
        <v>721</v>
      </c>
      <c r="C39" s="411"/>
      <c r="D39" s="411"/>
      <c r="E39" s="411"/>
      <c r="F39" s="417"/>
      <c r="G39" s="419">
        <v>15000</v>
      </c>
      <c r="H39" s="550" t="s">
        <v>722</v>
      </c>
      <c r="I39" s="551"/>
      <c r="J39" s="405"/>
      <c r="K39" s="405"/>
    </row>
    <row r="40" spans="1:11" ht="12" customHeight="1" thickBot="1">
      <c r="A40" s="407">
        <v>45681</v>
      </c>
      <c r="B40" s="429" t="s">
        <v>723</v>
      </c>
      <c r="C40" s="411"/>
      <c r="D40" s="411"/>
      <c r="E40" s="411"/>
      <c r="F40" s="417"/>
      <c r="G40" s="419">
        <v>18000</v>
      </c>
      <c r="H40" s="550" t="s">
        <v>724</v>
      </c>
      <c r="I40" s="551"/>
      <c r="J40" s="405"/>
      <c r="K40" s="405"/>
    </row>
    <row r="41" spans="1:11" ht="12" customHeight="1" thickBot="1">
      <c r="A41" s="407">
        <v>45679</v>
      </c>
      <c r="B41" s="429" t="s">
        <v>725</v>
      </c>
      <c r="C41" s="411"/>
      <c r="D41" s="411"/>
      <c r="E41" s="411"/>
      <c r="F41" s="417"/>
      <c r="G41" s="419">
        <v>14500</v>
      </c>
      <c r="H41" s="550" t="s">
        <v>726</v>
      </c>
      <c r="I41" s="551"/>
      <c r="J41" s="405"/>
      <c r="K41" s="405"/>
    </row>
    <row r="42" spans="1:11" ht="12" customHeight="1" thickBot="1">
      <c r="A42" s="407">
        <v>45679</v>
      </c>
      <c r="B42" s="429" t="s">
        <v>725</v>
      </c>
      <c r="C42" s="411"/>
      <c r="D42" s="411"/>
      <c r="E42" s="411"/>
      <c r="F42" s="417"/>
      <c r="G42" s="419">
        <v>26500</v>
      </c>
      <c r="H42" s="550" t="s">
        <v>726</v>
      </c>
      <c r="I42" s="551"/>
      <c r="J42" s="405"/>
      <c r="K42" s="405"/>
    </row>
    <row r="43" spans="1:11" ht="12" customHeight="1" thickBot="1">
      <c r="A43" s="407">
        <v>45664</v>
      </c>
      <c r="B43" s="429" t="s">
        <v>727</v>
      </c>
      <c r="C43" s="411"/>
      <c r="D43" s="411"/>
      <c r="E43" s="411"/>
      <c r="F43" s="417"/>
      <c r="G43" s="419">
        <v>13500</v>
      </c>
      <c r="H43" s="550">
        <v>104491</v>
      </c>
      <c r="I43" s="551"/>
      <c r="J43" s="401">
        <v>227125</v>
      </c>
      <c r="K43" s="405"/>
    </row>
    <row r="44" spans="1:11" ht="12" thickBot="1">
      <c r="A44" s="418"/>
      <c r="B44" s="576"/>
      <c r="C44" s="577"/>
      <c r="D44" s="577"/>
      <c r="E44" s="577"/>
      <c r="F44" s="565"/>
      <c r="G44" s="416"/>
      <c r="H44" s="564"/>
      <c r="I44" s="565"/>
      <c r="J44" s="405"/>
      <c r="K44" s="405"/>
    </row>
    <row r="45" spans="1:11" ht="12" thickBot="1"/>
    <row r="46" spans="1:11" ht="12" thickBot="1">
      <c r="A46" s="404" t="s">
        <v>728</v>
      </c>
      <c r="B46" s="405"/>
      <c r="C46" s="405"/>
      <c r="D46" s="405"/>
      <c r="E46" s="405"/>
      <c r="F46" s="405"/>
      <c r="G46" s="405"/>
      <c r="H46" s="405"/>
      <c r="I46" s="405"/>
      <c r="J46" s="405"/>
      <c r="K46" s="405"/>
    </row>
    <row r="47" spans="1:11" ht="12" thickBot="1">
      <c r="A47" s="406"/>
      <c r="B47" s="406"/>
      <c r="C47" s="406"/>
      <c r="D47" s="406"/>
      <c r="E47" s="406"/>
      <c r="F47" s="406"/>
      <c r="G47" s="406"/>
      <c r="H47" s="406"/>
      <c r="I47" s="406"/>
      <c r="J47" s="406"/>
      <c r="K47" s="405"/>
    </row>
    <row r="48" spans="1:11" ht="12" thickBot="1">
      <c r="A48" s="402" t="s">
        <v>23</v>
      </c>
      <c r="B48" s="422"/>
      <c r="C48" s="422"/>
      <c r="D48" s="422"/>
      <c r="E48" s="422"/>
      <c r="F48" s="423"/>
      <c r="G48" s="557" t="s">
        <v>95</v>
      </c>
      <c r="H48" s="559"/>
      <c r="I48" s="557" t="s">
        <v>684</v>
      </c>
      <c r="J48" s="559"/>
      <c r="K48" s="405"/>
    </row>
    <row r="49" spans="1:11" ht="12" thickBot="1">
      <c r="A49" s="418"/>
      <c r="B49" s="576" t="s">
        <v>98</v>
      </c>
      <c r="C49" s="577"/>
      <c r="D49" s="577"/>
      <c r="E49" s="577"/>
      <c r="F49" s="565"/>
      <c r="G49" s="564"/>
      <c r="H49" s="565"/>
      <c r="I49" s="564"/>
      <c r="J49" s="565"/>
      <c r="K49" s="405"/>
    </row>
    <row r="50" spans="1:11" ht="12" thickBot="1">
      <c r="A50" s="407">
        <v>45680</v>
      </c>
      <c r="B50" s="576" t="s">
        <v>729</v>
      </c>
      <c r="C50" s="577"/>
      <c r="D50" s="577"/>
      <c r="E50" s="577"/>
      <c r="F50" s="565"/>
      <c r="G50" s="562">
        <v>39350</v>
      </c>
      <c r="H50" s="563"/>
      <c r="I50" s="550" t="s">
        <v>730</v>
      </c>
      <c r="J50" s="551"/>
      <c r="K50" s="405"/>
    </row>
    <row r="51" spans="1:11" ht="12" thickBot="1">
      <c r="A51" s="407">
        <v>45687</v>
      </c>
      <c r="B51" s="576" t="s">
        <v>729</v>
      </c>
      <c r="C51" s="577"/>
      <c r="D51" s="577"/>
      <c r="E51" s="577"/>
      <c r="F51" s="565"/>
      <c r="G51" s="562">
        <v>7000</v>
      </c>
      <c r="H51" s="563"/>
      <c r="I51" s="550" t="s">
        <v>731</v>
      </c>
      <c r="J51" s="551"/>
      <c r="K51" s="405"/>
    </row>
    <row r="52" spans="1:11" ht="12" thickBot="1">
      <c r="A52" s="407">
        <v>45687</v>
      </c>
      <c r="B52" s="576" t="s">
        <v>732</v>
      </c>
      <c r="C52" s="577"/>
      <c r="D52" s="577"/>
      <c r="E52" s="577"/>
      <c r="F52" s="565"/>
      <c r="G52" s="562">
        <v>20000</v>
      </c>
      <c r="H52" s="563"/>
      <c r="I52" s="550" t="s">
        <v>733</v>
      </c>
      <c r="J52" s="551"/>
      <c r="K52" s="405"/>
    </row>
    <row r="53" spans="1:11" ht="12" thickBot="1">
      <c r="A53" s="407">
        <v>45665</v>
      </c>
      <c r="B53" s="576" t="s">
        <v>729</v>
      </c>
      <c r="C53" s="577"/>
      <c r="D53" s="577"/>
      <c r="E53" s="577"/>
      <c r="F53" s="565"/>
      <c r="G53" s="562">
        <v>497000</v>
      </c>
      <c r="H53" s="563"/>
      <c r="I53" s="550" t="s">
        <v>734</v>
      </c>
      <c r="J53" s="551"/>
      <c r="K53" s="405"/>
    </row>
    <row r="54" spans="1:11" ht="12" thickBot="1">
      <c r="A54" s="407">
        <v>45664</v>
      </c>
      <c r="B54" s="576" t="s">
        <v>735</v>
      </c>
      <c r="C54" s="577"/>
      <c r="D54" s="577"/>
      <c r="E54" s="577"/>
      <c r="F54" s="565"/>
      <c r="G54" s="562">
        <v>343900</v>
      </c>
      <c r="H54" s="563"/>
      <c r="I54" s="550" t="s">
        <v>736</v>
      </c>
      <c r="J54" s="551"/>
      <c r="K54" s="405"/>
    </row>
    <row r="55" spans="1:11" ht="12" thickBot="1">
      <c r="A55" s="407">
        <v>45681</v>
      </c>
      <c r="B55" s="576" t="s">
        <v>732</v>
      </c>
      <c r="C55" s="577"/>
      <c r="D55" s="577"/>
      <c r="E55" s="577"/>
      <c r="F55" s="565"/>
      <c r="G55" s="562">
        <v>978145</v>
      </c>
      <c r="H55" s="563"/>
      <c r="I55" s="550" t="s">
        <v>737</v>
      </c>
      <c r="J55" s="551"/>
      <c r="K55" s="405"/>
    </row>
    <row r="56" spans="1:11" ht="12" thickBot="1">
      <c r="A56" s="407">
        <v>45665</v>
      </c>
      <c r="B56" s="576" t="s">
        <v>738</v>
      </c>
      <c r="C56" s="577"/>
      <c r="D56" s="577"/>
      <c r="E56" s="577"/>
      <c r="F56" s="565"/>
      <c r="G56" s="562">
        <v>8180</v>
      </c>
      <c r="H56" s="563"/>
      <c r="I56" s="550">
        <v>150003995</v>
      </c>
      <c r="J56" s="551"/>
      <c r="K56" s="401">
        <v>1893575</v>
      </c>
    </row>
    <row r="57" spans="1:11" ht="12" thickBot="1">
      <c r="A57" s="418"/>
      <c r="B57" s="576"/>
      <c r="C57" s="577"/>
      <c r="D57" s="577"/>
      <c r="E57" s="577"/>
      <c r="F57" s="565"/>
      <c r="G57" s="564"/>
      <c r="H57" s="565"/>
      <c r="I57" s="564"/>
      <c r="J57" s="565"/>
      <c r="K57" s="405"/>
    </row>
    <row r="58" spans="1:11" ht="12" thickBot="1">
      <c r="A58" s="418"/>
      <c r="B58" s="576" t="s">
        <v>38</v>
      </c>
      <c r="C58" s="577"/>
      <c r="D58" s="577"/>
      <c r="E58" s="577"/>
      <c r="F58" s="565"/>
      <c r="G58" s="564"/>
      <c r="H58" s="565"/>
      <c r="I58" s="564"/>
      <c r="J58" s="565"/>
      <c r="K58" s="405"/>
    </row>
    <row r="59" spans="1:11" ht="12" thickBot="1">
      <c r="A59" s="407">
        <v>45665</v>
      </c>
      <c r="B59" s="576" t="s">
        <v>739</v>
      </c>
      <c r="C59" s="577"/>
      <c r="D59" s="577"/>
      <c r="E59" s="577"/>
      <c r="F59" s="565"/>
      <c r="G59" s="562">
        <v>191000</v>
      </c>
      <c r="H59" s="563"/>
      <c r="I59" s="550" t="s">
        <v>740</v>
      </c>
      <c r="J59" s="551"/>
      <c r="K59" s="401">
        <v>191000</v>
      </c>
    </row>
    <row r="60" spans="1:11" ht="25.5" customHeight="1" thickBot="1">
      <c r="A60" s="418"/>
      <c r="B60" s="576"/>
      <c r="C60" s="577"/>
      <c r="D60" s="577"/>
      <c r="E60" s="577"/>
      <c r="F60" s="565"/>
      <c r="G60" s="564"/>
      <c r="H60" s="565"/>
      <c r="I60" s="564"/>
      <c r="J60" s="565"/>
      <c r="K60" s="405"/>
    </row>
    <row r="61" spans="1:11" ht="12" thickBot="1">
      <c r="A61" s="418"/>
      <c r="B61" s="576"/>
      <c r="C61" s="577"/>
      <c r="D61" s="577"/>
      <c r="E61" s="577"/>
      <c r="F61" s="565"/>
      <c r="G61" s="564"/>
      <c r="H61" s="565"/>
      <c r="I61" s="564"/>
      <c r="J61" s="565"/>
      <c r="K61" s="405"/>
    </row>
    <row r="62" spans="1:11" ht="12" thickBot="1">
      <c r="A62" s="418"/>
      <c r="B62" s="576"/>
      <c r="C62" s="577"/>
      <c r="D62" s="577"/>
      <c r="E62" s="577"/>
      <c r="F62" s="565"/>
      <c r="G62" s="564"/>
      <c r="H62" s="565"/>
      <c r="I62" s="564"/>
      <c r="J62" s="565"/>
      <c r="K62" s="405"/>
    </row>
    <row r="63" spans="1:11" ht="12" thickBot="1">
      <c r="A63" s="578" t="s">
        <v>741</v>
      </c>
      <c r="B63" s="579"/>
      <c r="C63" s="579"/>
      <c r="D63" s="579"/>
      <c r="E63" s="579"/>
      <c r="F63" s="580"/>
      <c r="G63" s="581" t="s">
        <v>742</v>
      </c>
      <c r="H63" s="582"/>
      <c r="I63" s="405"/>
      <c r="J63" s="405"/>
      <c r="K63" s="405"/>
    </row>
    <row r="64" spans="1:11" ht="12.75" thickTop="1" thickBot="1">
      <c r="A64" s="405"/>
      <c r="B64" s="405"/>
      <c r="C64" s="405"/>
      <c r="D64" s="405"/>
      <c r="E64" s="405"/>
      <c r="F64" s="405"/>
      <c r="G64" s="405"/>
      <c r="H64" s="405"/>
      <c r="I64" s="405"/>
      <c r="J64" s="405"/>
      <c r="K64" s="405"/>
    </row>
    <row r="65" spans="1:11" ht="12" thickBot="1">
      <c r="A65" s="406"/>
      <c r="B65" s="406"/>
      <c r="C65" s="406"/>
      <c r="D65" s="406"/>
      <c r="E65" s="406"/>
      <c r="F65" s="406"/>
      <c r="G65" s="406"/>
      <c r="H65" s="406"/>
      <c r="I65" s="406"/>
      <c r="J65" s="406"/>
      <c r="K65" s="405"/>
    </row>
    <row r="66" spans="1:11" ht="12" thickBot="1">
      <c r="A66" s="557" t="s">
        <v>743</v>
      </c>
      <c r="B66" s="558"/>
      <c r="C66" s="558"/>
      <c r="D66" s="558"/>
      <c r="E66" s="558"/>
      <c r="F66" s="559"/>
      <c r="G66" s="557" t="s">
        <v>95</v>
      </c>
      <c r="H66" s="559"/>
      <c r="I66" s="557" t="s">
        <v>684</v>
      </c>
      <c r="J66" s="559"/>
      <c r="K66" s="405"/>
    </row>
    <row r="67" spans="1:11" ht="12" thickBot="1">
      <c r="A67" s="418"/>
      <c r="B67" s="560" t="s">
        <v>744</v>
      </c>
      <c r="C67" s="561"/>
      <c r="D67" s="561"/>
      <c r="E67" s="561"/>
      <c r="F67" s="551"/>
      <c r="G67" s="562">
        <v>12995000</v>
      </c>
      <c r="H67" s="563"/>
      <c r="I67" s="564"/>
      <c r="J67" s="565"/>
      <c r="K67" s="405"/>
    </row>
    <row r="68" spans="1:11" ht="12" thickBot="1">
      <c r="A68" s="424">
        <v>46038</v>
      </c>
      <c r="B68" s="560" t="s">
        <v>745</v>
      </c>
      <c r="C68" s="561"/>
      <c r="D68" s="561"/>
      <c r="E68" s="561"/>
      <c r="F68" s="551"/>
      <c r="G68" s="562">
        <v>617000</v>
      </c>
      <c r="H68" s="563"/>
      <c r="I68" s="550" t="s">
        <v>746</v>
      </c>
      <c r="J68" s="551"/>
      <c r="K68" s="405"/>
    </row>
    <row r="69" spans="1:11" ht="12" thickBot="1">
      <c r="A69" s="418"/>
      <c r="B69" s="576"/>
      <c r="C69" s="577"/>
      <c r="D69" s="577"/>
      <c r="E69" s="577"/>
      <c r="F69" s="565"/>
      <c r="G69" s="564"/>
      <c r="H69" s="565"/>
      <c r="I69" s="564"/>
      <c r="J69" s="565"/>
      <c r="K69" s="405"/>
    </row>
    <row r="70" spans="1:11" ht="12" thickBot="1"/>
    <row r="71" spans="1:11" ht="12" thickBot="1">
      <c r="A71" s="557" t="s">
        <v>23</v>
      </c>
      <c r="B71" s="558"/>
      <c r="C71" s="558"/>
      <c r="D71" s="558"/>
      <c r="E71" s="558"/>
      <c r="F71" s="559"/>
      <c r="G71" s="557" t="s">
        <v>95</v>
      </c>
      <c r="H71" s="559"/>
      <c r="I71" s="557" t="s">
        <v>684</v>
      </c>
      <c r="J71" s="559"/>
      <c r="K71" s="405"/>
    </row>
    <row r="72" spans="1:11" ht="12" thickBot="1">
      <c r="A72" s="418"/>
      <c r="B72" s="576" t="s">
        <v>24</v>
      </c>
      <c r="C72" s="577"/>
      <c r="D72" s="577"/>
      <c r="E72" s="577"/>
      <c r="F72" s="565"/>
      <c r="G72" s="564"/>
      <c r="H72" s="565"/>
      <c r="I72" s="564"/>
      <c r="J72" s="565"/>
      <c r="K72" s="405"/>
    </row>
    <row r="73" spans="1:11" ht="12" thickBot="1">
      <c r="A73" s="407">
        <v>45675</v>
      </c>
      <c r="B73" s="576" t="s">
        <v>747</v>
      </c>
      <c r="C73" s="577"/>
      <c r="D73" s="577"/>
      <c r="E73" s="577"/>
      <c r="F73" s="565"/>
      <c r="G73" s="562">
        <v>1500</v>
      </c>
      <c r="H73" s="563"/>
      <c r="I73" s="550" t="s">
        <v>748</v>
      </c>
      <c r="J73" s="551"/>
      <c r="K73" s="405"/>
    </row>
    <row r="74" spans="1:11" ht="12" thickBot="1">
      <c r="A74" s="418"/>
      <c r="B74" s="576"/>
      <c r="C74" s="577"/>
      <c r="D74" s="577"/>
      <c r="E74" s="577"/>
      <c r="F74" s="565"/>
      <c r="G74" s="564"/>
      <c r="H74" s="565"/>
      <c r="I74" s="564"/>
      <c r="J74" s="565"/>
      <c r="K74" s="405"/>
    </row>
    <row r="75" spans="1:11" ht="12" thickBot="1">
      <c r="A75" s="418"/>
      <c r="B75" s="576"/>
      <c r="C75" s="577"/>
      <c r="D75" s="577"/>
      <c r="E75" s="577"/>
      <c r="F75" s="565"/>
      <c r="G75" s="564"/>
      <c r="H75" s="565"/>
      <c r="I75" s="564"/>
      <c r="J75" s="565"/>
      <c r="K75" s="405"/>
    </row>
    <row r="76" spans="1:11" ht="12" thickBot="1">
      <c r="A76" s="418"/>
      <c r="B76" s="576"/>
      <c r="C76" s="577"/>
      <c r="D76" s="577"/>
      <c r="E76" s="577"/>
      <c r="F76" s="565"/>
      <c r="G76" s="564"/>
      <c r="H76" s="565"/>
      <c r="I76" s="564"/>
      <c r="J76" s="565"/>
      <c r="K76" s="405"/>
    </row>
    <row r="77" spans="1:11" ht="12" thickBot="1">
      <c r="A77" s="418"/>
      <c r="B77" s="576"/>
      <c r="C77" s="577"/>
      <c r="D77" s="577"/>
      <c r="E77" s="577"/>
      <c r="F77" s="565"/>
      <c r="G77" s="564"/>
      <c r="H77" s="565"/>
      <c r="I77" s="564"/>
      <c r="J77" s="565"/>
      <c r="K77" s="405"/>
    </row>
    <row r="78" spans="1:11" ht="12" thickBot="1">
      <c r="A78" s="418"/>
      <c r="B78" s="576" t="s">
        <v>38</v>
      </c>
      <c r="C78" s="577"/>
      <c r="D78" s="577"/>
      <c r="E78" s="577"/>
      <c r="F78" s="565"/>
      <c r="G78" s="406"/>
      <c r="H78" s="416"/>
      <c r="I78" s="564"/>
      <c r="J78" s="565"/>
      <c r="K78" s="405"/>
    </row>
    <row r="79" spans="1:11" ht="12" thickBot="1">
      <c r="A79" s="407">
        <v>45671</v>
      </c>
      <c r="B79" s="576" t="s">
        <v>749</v>
      </c>
      <c r="C79" s="577"/>
      <c r="D79" s="577"/>
      <c r="E79" s="577"/>
      <c r="F79" s="565"/>
      <c r="G79" s="562">
        <v>44000</v>
      </c>
      <c r="H79" s="563"/>
      <c r="I79" s="550">
        <v>1922</v>
      </c>
      <c r="J79" s="551"/>
      <c r="K79" s="405"/>
    </row>
    <row r="80" spans="1:11" ht="12" thickBot="1">
      <c r="A80" s="424">
        <v>46052</v>
      </c>
      <c r="B80" s="576" t="s">
        <v>750</v>
      </c>
      <c r="C80" s="577"/>
      <c r="D80" s="577"/>
      <c r="E80" s="577"/>
      <c r="F80" s="565"/>
      <c r="G80" s="562">
        <v>11500</v>
      </c>
      <c r="H80" s="563"/>
      <c r="I80" s="564" t="s">
        <v>751</v>
      </c>
      <c r="J80" s="565"/>
      <c r="K80" s="405"/>
    </row>
    <row r="81" spans="1:11" ht="12" thickBot="1">
      <c r="A81" s="424">
        <v>46028</v>
      </c>
      <c r="B81" s="425" t="s">
        <v>752</v>
      </c>
      <c r="C81" s="406"/>
      <c r="D81" s="406"/>
      <c r="E81" s="406"/>
      <c r="F81" s="416"/>
      <c r="G81" s="406"/>
      <c r="H81" s="426">
        <v>5500</v>
      </c>
      <c r="I81" s="425" t="s">
        <v>753</v>
      </c>
      <c r="J81" s="416"/>
      <c r="K81" s="405"/>
    </row>
    <row r="82" spans="1:11" ht="12" thickBot="1">
      <c r="A82" s="424">
        <v>46363</v>
      </c>
      <c r="B82" s="425" t="s">
        <v>754</v>
      </c>
      <c r="C82" s="406"/>
      <c r="D82" s="406"/>
      <c r="E82" s="406"/>
      <c r="F82" s="416"/>
      <c r="G82" s="406"/>
      <c r="H82" s="426">
        <v>26500</v>
      </c>
      <c r="I82" s="425" t="s">
        <v>755</v>
      </c>
      <c r="J82" s="416"/>
      <c r="K82" s="401">
        <v>87500</v>
      </c>
    </row>
    <row r="83" spans="1:11" ht="12" thickBot="1">
      <c r="A83" s="427"/>
      <c r="B83" s="566"/>
      <c r="C83" s="567"/>
      <c r="D83" s="567"/>
      <c r="E83" s="567"/>
      <c r="F83" s="568"/>
      <c r="G83" s="572"/>
      <c r="H83" s="568"/>
      <c r="I83" s="564"/>
      <c r="J83" s="565"/>
      <c r="K83" s="405"/>
    </row>
    <row r="84" spans="1:11" ht="12.75" thickTop="1" thickBot="1">
      <c r="A84" s="552" t="s">
        <v>756</v>
      </c>
      <c r="B84" s="553"/>
      <c r="C84" s="553"/>
      <c r="D84" s="553"/>
      <c r="E84" s="553"/>
      <c r="F84" s="554"/>
      <c r="G84" s="555" t="s">
        <v>757</v>
      </c>
      <c r="H84" s="556"/>
      <c r="I84" s="405"/>
      <c r="J84" s="405"/>
      <c r="K84" s="405"/>
    </row>
    <row r="85" spans="1:11" ht="12.75" thickTop="1" thickBot="1">
      <c r="A85" s="405"/>
      <c r="B85" s="405"/>
      <c r="C85" s="405"/>
      <c r="D85" s="405"/>
      <c r="E85" s="405"/>
      <c r="F85" s="405"/>
      <c r="G85" s="405"/>
      <c r="H85" s="405"/>
      <c r="I85" s="405"/>
      <c r="J85" s="405"/>
      <c r="K85" s="405"/>
    </row>
    <row r="86" spans="1:11" ht="12" thickBot="1">
      <c r="A86" s="406"/>
      <c r="B86" s="406"/>
      <c r="C86" s="406"/>
      <c r="D86" s="406"/>
      <c r="E86" s="406"/>
      <c r="F86" s="406"/>
      <c r="G86" s="406"/>
      <c r="H86" s="406"/>
      <c r="I86" s="406"/>
      <c r="J86" s="406"/>
      <c r="K86" s="405"/>
    </row>
    <row r="87" spans="1:11" ht="12" thickBot="1">
      <c r="A87" s="557" t="s">
        <v>743</v>
      </c>
      <c r="B87" s="558"/>
      <c r="C87" s="558"/>
      <c r="D87" s="558"/>
      <c r="E87" s="558"/>
      <c r="F87" s="559"/>
      <c r="G87" s="557" t="s">
        <v>95</v>
      </c>
      <c r="H87" s="559"/>
      <c r="I87" s="557" t="s">
        <v>684</v>
      </c>
      <c r="J87" s="559"/>
      <c r="K87" s="405"/>
    </row>
    <row r="88" spans="1:11" ht="12" thickBot="1">
      <c r="A88" s="407">
        <v>46003</v>
      </c>
      <c r="B88" s="576" t="s">
        <v>758</v>
      </c>
      <c r="C88" s="577"/>
      <c r="D88" s="577"/>
      <c r="E88" s="577"/>
      <c r="F88" s="565"/>
      <c r="G88" s="562">
        <v>70000</v>
      </c>
      <c r="H88" s="563"/>
      <c r="I88" s="550" t="s">
        <v>759</v>
      </c>
      <c r="J88" s="551"/>
      <c r="K88" s="405"/>
    </row>
    <row r="89" spans="1:11" ht="12" thickBot="1">
      <c r="A89" s="407">
        <v>46003</v>
      </c>
      <c r="B89" s="576" t="s">
        <v>760</v>
      </c>
      <c r="C89" s="577"/>
      <c r="D89" s="577"/>
      <c r="E89" s="577"/>
      <c r="F89" s="565"/>
      <c r="G89" s="562">
        <v>376300</v>
      </c>
      <c r="H89" s="563"/>
      <c r="I89" s="550" t="s">
        <v>761</v>
      </c>
      <c r="J89" s="551"/>
      <c r="K89" s="405"/>
    </row>
    <row r="90" spans="1:11" ht="12" thickBot="1">
      <c r="A90" s="418"/>
      <c r="B90" s="576"/>
      <c r="C90" s="577"/>
      <c r="D90" s="577"/>
      <c r="E90" s="577"/>
      <c r="F90" s="565"/>
      <c r="G90" s="564"/>
      <c r="H90" s="565"/>
      <c r="I90" s="564"/>
      <c r="J90" s="565"/>
      <c r="K90" s="405"/>
    </row>
    <row r="91" spans="1:11" ht="12" thickBot="1"/>
    <row r="92" spans="1:11" ht="12" thickBot="1">
      <c r="A92" s="404" t="s">
        <v>762</v>
      </c>
      <c r="B92" s="405"/>
      <c r="C92" s="405"/>
      <c r="D92" s="405"/>
      <c r="E92" s="405"/>
      <c r="F92" s="405"/>
      <c r="G92" s="405"/>
      <c r="H92" s="405"/>
      <c r="I92" s="405"/>
      <c r="J92" s="405"/>
      <c r="K92" s="405"/>
    </row>
    <row r="93" spans="1:11" ht="12" thickBot="1">
      <c r="A93" s="406"/>
      <c r="B93" s="406"/>
      <c r="C93" s="406"/>
      <c r="D93" s="406"/>
      <c r="E93" s="406"/>
      <c r="F93" s="406"/>
      <c r="G93" s="406"/>
      <c r="H93" s="406"/>
      <c r="I93" s="406"/>
      <c r="J93" s="406"/>
      <c r="K93" s="405"/>
    </row>
    <row r="94" spans="1:11" ht="12" thickBot="1">
      <c r="A94" s="557" t="s">
        <v>23</v>
      </c>
      <c r="B94" s="558"/>
      <c r="C94" s="558"/>
      <c r="D94" s="558"/>
      <c r="E94" s="558"/>
      <c r="F94" s="559"/>
      <c r="G94" s="557" t="s">
        <v>95</v>
      </c>
      <c r="H94" s="559"/>
      <c r="I94" s="557" t="s">
        <v>684</v>
      </c>
      <c r="J94" s="559"/>
      <c r="K94" s="405"/>
    </row>
    <row r="95" spans="1:11" ht="12" thickBot="1">
      <c r="A95" s="418"/>
      <c r="B95" s="576"/>
      <c r="C95" s="577"/>
      <c r="D95" s="577"/>
      <c r="E95" s="577"/>
      <c r="F95" s="565"/>
      <c r="G95" s="564"/>
      <c r="H95" s="565"/>
      <c r="I95" s="564"/>
      <c r="J95" s="565"/>
      <c r="K95" s="405"/>
    </row>
    <row r="96" spans="1:11" ht="12" thickBot="1">
      <c r="A96" s="418"/>
      <c r="B96" s="576"/>
      <c r="C96" s="577"/>
      <c r="D96" s="577"/>
      <c r="E96" s="577"/>
      <c r="F96" s="565"/>
      <c r="G96" s="564"/>
      <c r="H96" s="565"/>
      <c r="I96" s="564"/>
      <c r="J96" s="565"/>
      <c r="K96" s="405"/>
    </row>
    <row r="97" spans="1:11" ht="12" thickBot="1">
      <c r="A97" s="418"/>
      <c r="B97" s="560" t="s">
        <v>38</v>
      </c>
      <c r="C97" s="561"/>
      <c r="D97" s="561"/>
      <c r="E97" s="561"/>
      <c r="F97" s="551"/>
      <c r="G97" s="564"/>
      <c r="H97" s="565"/>
      <c r="I97" s="564"/>
      <c r="J97" s="565"/>
      <c r="K97" s="405"/>
    </row>
    <row r="98" spans="1:11" ht="12" thickBot="1">
      <c r="A98" s="407">
        <v>45667</v>
      </c>
      <c r="B98" s="560" t="s">
        <v>763</v>
      </c>
      <c r="C98" s="561"/>
      <c r="D98" s="561"/>
      <c r="E98" s="561"/>
      <c r="F98" s="551"/>
      <c r="G98" s="562">
        <v>22000</v>
      </c>
      <c r="H98" s="563"/>
      <c r="I98" s="550" t="s">
        <v>764</v>
      </c>
      <c r="J98" s="551"/>
      <c r="K98" s="405"/>
    </row>
    <row r="99" spans="1:11" ht="12" thickBot="1">
      <c r="A99" s="424">
        <v>46032</v>
      </c>
      <c r="B99" s="560" t="s">
        <v>763</v>
      </c>
      <c r="C99" s="561"/>
      <c r="D99" s="561"/>
      <c r="E99" s="561"/>
      <c r="F99" s="551"/>
      <c r="G99" s="406"/>
      <c r="H99" s="426">
        <v>13500</v>
      </c>
      <c r="I99" s="550" t="s">
        <v>765</v>
      </c>
      <c r="J99" s="551"/>
      <c r="K99" s="405"/>
    </row>
    <row r="100" spans="1:11" ht="12" thickBot="1">
      <c r="A100" s="424">
        <v>46029</v>
      </c>
      <c r="B100" s="560" t="s">
        <v>763</v>
      </c>
      <c r="C100" s="561"/>
      <c r="D100" s="561"/>
      <c r="E100" s="561"/>
      <c r="F100" s="551"/>
      <c r="G100" s="562">
        <v>7000</v>
      </c>
      <c r="H100" s="563"/>
      <c r="I100" s="550" t="s">
        <v>766</v>
      </c>
      <c r="J100" s="551"/>
      <c r="K100" s="405"/>
    </row>
    <row r="101" spans="1:11" ht="12" thickBot="1">
      <c r="A101" s="427"/>
      <c r="B101" s="566"/>
      <c r="C101" s="567"/>
      <c r="D101" s="567"/>
      <c r="E101" s="567"/>
      <c r="F101" s="568"/>
      <c r="G101" s="572"/>
      <c r="H101" s="568"/>
      <c r="I101" s="564"/>
      <c r="J101" s="565"/>
      <c r="K101" s="405"/>
    </row>
    <row r="102" spans="1:11" ht="12.75" thickTop="1" thickBot="1">
      <c r="A102" s="552" t="s">
        <v>767</v>
      </c>
      <c r="B102" s="553"/>
      <c r="C102" s="553"/>
      <c r="D102" s="553"/>
      <c r="E102" s="553"/>
      <c r="F102" s="554"/>
      <c r="G102" s="555" t="s">
        <v>768</v>
      </c>
      <c r="H102" s="556"/>
      <c r="I102" s="405"/>
      <c r="J102" s="405"/>
      <c r="K102" s="405"/>
    </row>
    <row r="103" spans="1:11" ht="12.75" thickTop="1" thickBot="1">
      <c r="A103" s="405"/>
      <c r="B103" s="405"/>
      <c r="C103" s="405"/>
      <c r="D103" s="405"/>
      <c r="E103" s="405"/>
      <c r="F103" s="405"/>
      <c r="G103" s="405"/>
      <c r="H103" s="405"/>
      <c r="I103" s="405"/>
      <c r="J103" s="405"/>
      <c r="K103" s="405"/>
    </row>
    <row r="104" spans="1:11" ht="12" thickBot="1">
      <c r="A104" s="406"/>
      <c r="B104" s="406"/>
      <c r="C104" s="406"/>
      <c r="D104" s="406"/>
      <c r="E104" s="406"/>
      <c r="F104" s="406"/>
      <c r="G104" s="406"/>
      <c r="H104" s="406"/>
      <c r="I104" s="406"/>
      <c r="J104" s="406"/>
      <c r="K104" s="405"/>
    </row>
    <row r="105" spans="1:11" ht="12" thickBot="1">
      <c r="A105" s="557" t="s">
        <v>743</v>
      </c>
      <c r="B105" s="558"/>
      <c r="C105" s="558"/>
      <c r="D105" s="558"/>
      <c r="E105" s="558"/>
      <c r="F105" s="559"/>
      <c r="G105" s="557" t="s">
        <v>95</v>
      </c>
      <c r="H105" s="559"/>
      <c r="I105" s="557" t="s">
        <v>684</v>
      </c>
      <c r="J105" s="559"/>
      <c r="K105" s="405"/>
    </row>
    <row r="106" spans="1:11" ht="12" thickBot="1">
      <c r="A106" s="407">
        <v>46004</v>
      </c>
      <c r="B106" s="560" t="s">
        <v>413</v>
      </c>
      <c r="C106" s="561"/>
      <c r="D106" s="561"/>
      <c r="E106" s="561"/>
      <c r="F106" s="551"/>
      <c r="G106" s="562">
        <v>2331400</v>
      </c>
      <c r="H106" s="563"/>
      <c r="I106" s="550" t="s">
        <v>769</v>
      </c>
      <c r="J106" s="551"/>
      <c r="K106" s="405"/>
    </row>
    <row r="107" spans="1:11" ht="12" thickBot="1"/>
    <row r="108" spans="1:11" ht="12" thickBot="1">
      <c r="A108" s="557" t="s">
        <v>23</v>
      </c>
      <c r="B108" s="558"/>
      <c r="C108" s="558"/>
      <c r="D108" s="558"/>
      <c r="E108" s="558"/>
      <c r="F108" s="559"/>
      <c r="G108" s="557" t="s">
        <v>95</v>
      </c>
      <c r="H108" s="559"/>
      <c r="I108" s="557" t="s">
        <v>684</v>
      </c>
      <c r="J108" s="559"/>
      <c r="K108" s="405"/>
    </row>
    <row r="109" spans="1:11" ht="12" thickBot="1">
      <c r="A109" s="427"/>
      <c r="B109" s="566"/>
      <c r="C109" s="567"/>
      <c r="D109" s="567"/>
      <c r="E109" s="567"/>
      <c r="F109" s="568"/>
      <c r="G109" s="564"/>
      <c r="H109" s="565"/>
      <c r="I109" s="564"/>
      <c r="J109" s="565"/>
      <c r="K109" s="405"/>
    </row>
    <row r="110" spans="1:11" ht="12.75" thickTop="1" thickBot="1">
      <c r="A110" s="427"/>
      <c r="B110" s="569"/>
      <c r="C110" s="570"/>
      <c r="D110" s="570"/>
      <c r="E110" s="570"/>
      <c r="F110" s="571"/>
      <c r="G110" s="572"/>
      <c r="H110" s="573"/>
      <c r="I110" s="574"/>
      <c r="J110" s="575"/>
      <c r="K110" s="405"/>
    </row>
    <row r="111" spans="1:11" ht="12.75" thickTop="1" thickBot="1">
      <c r="A111" s="552" t="s">
        <v>767</v>
      </c>
      <c r="B111" s="553"/>
      <c r="C111" s="553"/>
      <c r="D111" s="553"/>
      <c r="E111" s="553"/>
      <c r="F111" s="554"/>
      <c r="G111" s="555" t="s">
        <v>770</v>
      </c>
      <c r="H111" s="556"/>
      <c r="I111" s="405"/>
      <c r="J111" s="405"/>
      <c r="K111" s="405"/>
    </row>
    <row r="112" spans="1:11" ht="12.75" thickTop="1" thickBot="1">
      <c r="A112" s="405"/>
      <c r="B112" s="405"/>
      <c r="C112" s="405"/>
      <c r="D112" s="405"/>
      <c r="E112" s="405"/>
      <c r="F112" s="405"/>
      <c r="G112" s="405"/>
      <c r="H112" s="405"/>
      <c r="I112" s="405"/>
      <c r="J112" s="405"/>
      <c r="K112" s="405"/>
    </row>
    <row r="113" spans="1:11" ht="12" thickBot="1">
      <c r="A113" s="406"/>
      <c r="B113" s="406"/>
      <c r="C113" s="406"/>
      <c r="D113" s="406"/>
      <c r="E113" s="406"/>
      <c r="F113" s="406"/>
      <c r="G113" s="406"/>
      <c r="H113" s="406"/>
      <c r="I113" s="406"/>
      <c r="J113" s="406"/>
      <c r="K113" s="405"/>
    </row>
    <row r="114" spans="1:11" ht="12" thickBot="1">
      <c r="A114" s="557" t="s">
        <v>743</v>
      </c>
      <c r="B114" s="558"/>
      <c r="C114" s="558"/>
      <c r="D114" s="558"/>
      <c r="E114" s="558"/>
      <c r="F114" s="559"/>
      <c r="G114" s="557" t="s">
        <v>95</v>
      </c>
      <c r="H114" s="559"/>
      <c r="I114" s="557" t="s">
        <v>684</v>
      </c>
      <c r="J114" s="559"/>
      <c r="K114" s="405"/>
    </row>
    <row r="115" spans="1:11" ht="12" thickBot="1">
      <c r="A115" s="418"/>
      <c r="B115" s="560" t="s">
        <v>771</v>
      </c>
      <c r="C115" s="561"/>
      <c r="D115" s="561"/>
      <c r="E115" s="561"/>
      <c r="F115" s="551"/>
      <c r="G115" s="562">
        <v>15018000</v>
      </c>
      <c r="H115" s="563"/>
      <c r="I115" s="564"/>
      <c r="J115" s="565"/>
      <c r="K115" s="405"/>
    </row>
    <row r="116" spans="1:11" ht="12" thickBot="1">
      <c r="A116" s="547" t="s">
        <v>772</v>
      </c>
      <c r="B116" s="548"/>
      <c r="C116" s="548"/>
      <c r="D116" s="548"/>
      <c r="E116" s="548"/>
      <c r="F116" s="549"/>
      <c r="G116" s="547" t="s">
        <v>773</v>
      </c>
      <c r="H116" s="549"/>
      <c r="I116" s="550" t="s">
        <v>774</v>
      </c>
      <c r="J116" s="551"/>
      <c r="K116" s="405"/>
    </row>
    <row r="117" spans="1:11" ht="12" thickTop="1"/>
  </sheetData>
  <mergeCells count="170">
    <mergeCell ref="H33:I33"/>
    <mergeCell ref="H34:I34"/>
    <mergeCell ref="H30:I30"/>
    <mergeCell ref="H31:I31"/>
    <mergeCell ref="H32:I32"/>
    <mergeCell ref="H29:I29"/>
    <mergeCell ref="H43:I43"/>
    <mergeCell ref="B44:F44"/>
    <mergeCell ref="H44:I44"/>
    <mergeCell ref="G48:H48"/>
    <mergeCell ref="I48:J48"/>
    <mergeCell ref="H40:I40"/>
    <mergeCell ref="H41:I41"/>
    <mergeCell ref="H42:I42"/>
    <mergeCell ref="H37:I37"/>
    <mergeCell ref="H38:I38"/>
    <mergeCell ref="H39:I39"/>
    <mergeCell ref="B51:F51"/>
    <mergeCell ref="G51:H51"/>
    <mergeCell ref="I51:J51"/>
    <mergeCell ref="B52:F52"/>
    <mergeCell ref="G52:H52"/>
    <mergeCell ref="I52:J52"/>
    <mergeCell ref="B49:F49"/>
    <mergeCell ref="G49:H49"/>
    <mergeCell ref="I49:J49"/>
    <mergeCell ref="B50:F50"/>
    <mergeCell ref="G50:H50"/>
    <mergeCell ref="I50:J50"/>
    <mergeCell ref="B55:F55"/>
    <mergeCell ref="G55:H55"/>
    <mergeCell ref="I55:J55"/>
    <mergeCell ref="B56:F56"/>
    <mergeCell ref="G56:H56"/>
    <mergeCell ref="I56:J56"/>
    <mergeCell ref="B53:F53"/>
    <mergeCell ref="G53:H53"/>
    <mergeCell ref="I53:J53"/>
    <mergeCell ref="B54:F54"/>
    <mergeCell ref="G54:H54"/>
    <mergeCell ref="I54:J54"/>
    <mergeCell ref="B59:F59"/>
    <mergeCell ref="G59:H59"/>
    <mergeCell ref="I59:J59"/>
    <mergeCell ref="B60:F60"/>
    <mergeCell ref="G60:H60"/>
    <mergeCell ref="I60:J60"/>
    <mergeCell ref="B57:F57"/>
    <mergeCell ref="G57:H57"/>
    <mergeCell ref="I57:J57"/>
    <mergeCell ref="B58:F58"/>
    <mergeCell ref="G58:H58"/>
    <mergeCell ref="I58:J58"/>
    <mergeCell ref="A63:F63"/>
    <mergeCell ref="G63:H63"/>
    <mergeCell ref="A66:F66"/>
    <mergeCell ref="G66:H66"/>
    <mergeCell ref="I66:J66"/>
    <mergeCell ref="B67:F67"/>
    <mergeCell ref="G67:H67"/>
    <mergeCell ref="I67:J67"/>
    <mergeCell ref="B61:F61"/>
    <mergeCell ref="G61:H61"/>
    <mergeCell ref="I61:J61"/>
    <mergeCell ref="B62:F62"/>
    <mergeCell ref="G62:H62"/>
    <mergeCell ref="I62:J62"/>
    <mergeCell ref="A71:F71"/>
    <mergeCell ref="G71:H71"/>
    <mergeCell ref="I71:J71"/>
    <mergeCell ref="B72:F72"/>
    <mergeCell ref="G72:H72"/>
    <mergeCell ref="I72:J72"/>
    <mergeCell ref="B68:F68"/>
    <mergeCell ref="G68:H68"/>
    <mergeCell ref="I68:J68"/>
    <mergeCell ref="B69:F69"/>
    <mergeCell ref="G69:H69"/>
    <mergeCell ref="I69:J69"/>
    <mergeCell ref="B75:F75"/>
    <mergeCell ref="G75:H75"/>
    <mergeCell ref="I75:J75"/>
    <mergeCell ref="B76:F76"/>
    <mergeCell ref="G76:H76"/>
    <mergeCell ref="I76:J76"/>
    <mergeCell ref="B73:F73"/>
    <mergeCell ref="G73:H73"/>
    <mergeCell ref="I73:J73"/>
    <mergeCell ref="B74:F74"/>
    <mergeCell ref="G74:H74"/>
    <mergeCell ref="I74:J74"/>
    <mergeCell ref="B80:F80"/>
    <mergeCell ref="G80:H80"/>
    <mergeCell ref="I80:J80"/>
    <mergeCell ref="B83:F83"/>
    <mergeCell ref="G83:H83"/>
    <mergeCell ref="I83:J83"/>
    <mergeCell ref="B77:F77"/>
    <mergeCell ref="G77:H77"/>
    <mergeCell ref="I77:J77"/>
    <mergeCell ref="B78:F78"/>
    <mergeCell ref="I78:J78"/>
    <mergeCell ref="B79:F79"/>
    <mergeCell ref="G79:H79"/>
    <mergeCell ref="I79:J79"/>
    <mergeCell ref="B89:F89"/>
    <mergeCell ref="G89:H89"/>
    <mergeCell ref="I89:J89"/>
    <mergeCell ref="B90:F90"/>
    <mergeCell ref="G90:H90"/>
    <mergeCell ref="I90:J90"/>
    <mergeCell ref="A84:F84"/>
    <mergeCell ref="G84:H84"/>
    <mergeCell ref="A87:F87"/>
    <mergeCell ref="G87:H87"/>
    <mergeCell ref="I87:J87"/>
    <mergeCell ref="B88:F88"/>
    <mergeCell ref="G88:H88"/>
    <mergeCell ref="I88:J88"/>
    <mergeCell ref="B96:F96"/>
    <mergeCell ref="G96:H96"/>
    <mergeCell ref="I96:J96"/>
    <mergeCell ref="B97:F97"/>
    <mergeCell ref="G97:H97"/>
    <mergeCell ref="I97:J97"/>
    <mergeCell ref="A94:F94"/>
    <mergeCell ref="G94:H94"/>
    <mergeCell ref="I94:J94"/>
    <mergeCell ref="B95:F95"/>
    <mergeCell ref="G95:H95"/>
    <mergeCell ref="I95:J95"/>
    <mergeCell ref="B101:F101"/>
    <mergeCell ref="G101:H101"/>
    <mergeCell ref="I101:J101"/>
    <mergeCell ref="A102:F102"/>
    <mergeCell ref="G102:H102"/>
    <mergeCell ref="A105:F105"/>
    <mergeCell ref="G105:H105"/>
    <mergeCell ref="I105:J105"/>
    <mergeCell ref="B98:F98"/>
    <mergeCell ref="G98:H98"/>
    <mergeCell ref="I98:J98"/>
    <mergeCell ref="B99:F99"/>
    <mergeCell ref="I99:J99"/>
    <mergeCell ref="B100:F100"/>
    <mergeCell ref="G100:H100"/>
    <mergeCell ref="I100:J100"/>
    <mergeCell ref="B109:F109"/>
    <mergeCell ref="G109:H109"/>
    <mergeCell ref="I109:J109"/>
    <mergeCell ref="B110:F110"/>
    <mergeCell ref="G110:H110"/>
    <mergeCell ref="I110:J110"/>
    <mergeCell ref="B106:F106"/>
    <mergeCell ref="G106:H106"/>
    <mergeCell ref="I106:J106"/>
    <mergeCell ref="A108:F108"/>
    <mergeCell ref="G108:H108"/>
    <mergeCell ref="I108:J108"/>
    <mergeCell ref="A116:F116"/>
    <mergeCell ref="G116:H116"/>
    <mergeCell ref="I116:J116"/>
    <mergeCell ref="A111:F111"/>
    <mergeCell ref="G111:H111"/>
    <mergeCell ref="A114:F114"/>
    <mergeCell ref="G114:H114"/>
    <mergeCell ref="I114:J114"/>
    <mergeCell ref="B115:F115"/>
    <mergeCell ref="G115:H115"/>
    <mergeCell ref="I115:J115"/>
  </mergeCells>
  <conditionalFormatting sqref="D1">
    <cfRule type="expression" priority="4">
      <formula>"private"</formula>
    </cfRule>
  </conditionalFormatting>
  <conditionalFormatting sqref="D5:D10">
    <cfRule type="expression" priority="3">
      <formula>"private"</formula>
    </cfRule>
  </conditionalFormatting>
  <conditionalFormatting sqref="D11:D12">
    <cfRule type="expression" priority="2">
      <formula>"private"</formula>
    </cfRule>
  </conditionalFormatting>
  <conditionalFormatting sqref="D13:D18">
    <cfRule type="expression" priority="1">
      <formula>"private"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AGENTS SALES 2026</vt:lpstr>
      <vt:lpstr>Overall Sales</vt:lpstr>
      <vt:lpstr>pau-accomplishment</vt:lpstr>
      <vt:lpstr>OLD RECORDS AGENTS HANDLE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>pc222</cp:lastModifiedBy>
  <cp:lastPrinted>2026-03-05T05:45:55Z</cp:lastPrinted>
  <dcterms:created xsi:type="dcterms:W3CDTF">2025-03-20T05:21:15Z</dcterms:created>
  <dcterms:modified xsi:type="dcterms:W3CDTF">2026-03-19T02:40:52Z</dcterms:modified>
</cp:coreProperties>
</file>